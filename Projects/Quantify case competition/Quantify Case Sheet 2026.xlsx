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huma\Downloads\"/>
    </mc:Choice>
  </mc:AlternateContent>
  <xr:revisionPtr revIDLastSave="0" documentId="13_ncr:1_{9311A4D0-816C-4E74-8DB1-C41A157F45B8}" xr6:coauthVersionLast="47" xr6:coauthVersionMax="47" xr10:uidLastSave="{00000000-0000-0000-0000-000000000000}"/>
  <bookViews>
    <workbookView xWindow="-120" yWindow="-120" windowWidth="38640" windowHeight="21120" activeTab="6" xr2:uid="{4C034993-FCE3-4450-B6DA-2EF9F6929C4B}"/>
  </bookViews>
  <sheets>
    <sheet name="Read Me" sheetId="1" r:id="rId1"/>
    <sheet name="Exhibit A" sheetId="2" r:id="rId2"/>
    <sheet name="Projections" sheetId="7" r:id="rId3"/>
    <sheet name="Projection Charts" sheetId="8" r:id="rId4"/>
    <sheet name="Exhibit B" sheetId="3" r:id="rId5"/>
    <sheet name="Loss by Sector FailureType" sheetId="5" r:id="rId6"/>
    <sheet name="By Date" sheetId="6" r:id="rId7"/>
    <sheet name="Exhibit C" sheetId="4" r:id="rId8"/>
  </sheets>
  <definedNames>
    <definedName name="_xlnm._FilterDatabase" localSheetId="4" hidden="1">'Exhibit B'!$A$2:$G$137</definedName>
  </definedNames>
  <calcPr calcId="191029" iterateDelta="1E-4"/>
  <pivotCaches>
    <pivotCache cacheId="0" r:id="rId9"/>
    <pivotCache cacheId="1" r:id="rId10"/>
    <pivotCache cacheId="2" r:id="rId11"/>
    <pivotCache cacheId="3" r:id="rId12"/>
    <pivotCache cacheId="4" r:id="rId13"/>
    <pivotCache cacheId="10" r:id="rId14"/>
    <pivotCache cacheId="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9" i="3" l="1"/>
  <c r="K8" i="3"/>
  <c r="K7" i="3"/>
  <c r="K6" i="3"/>
  <c r="K5" i="3"/>
  <c r="K4" i="3"/>
  <c r="Q5" i="7"/>
  <c r="T9" i="7"/>
  <c r="N5" i="7"/>
  <c r="P5" i="7"/>
  <c r="W49" i="7"/>
  <c r="X49" i="7" s="1"/>
  <c r="W39" i="7"/>
  <c r="X39" i="7" s="1"/>
  <c r="W29" i="7"/>
  <c r="X29" i="7" s="1"/>
  <c r="W19" i="7"/>
  <c r="X19" i="7" s="1"/>
  <c r="W9" i="7"/>
  <c r="V49" i="7"/>
  <c r="V39" i="7"/>
  <c r="V29" i="7"/>
  <c r="V19" i="7"/>
  <c r="V9" i="7"/>
  <c r="U49" i="7"/>
  <c r="U39" i="7"/>
  <c r="U29" i="7"/>
  <c r="U19" i="7"/>
  <c r="U9" i="7"/>
  <c r="T49" i="7"/>
  <c r="T39" i="7"/>
  <c r="T29" i="7"/>
  <c r="T19" i="7"/>
  <c r="N46" i="7"/>
  <c r="N45" i="7"/>
  <c r="N47" i="7" s="1"/>
  <c r="N36" i="7"/>
  <c r="N35" i="7"/>
  <c r="N37" i="7" s="1"/>
  <c r="N26" i="7"/>
  <c r="N25" i="7"/>
  <c r="N27" i="7" s="1"/>
  <c r="N16" i="7"/>
  <c r="N15" i="7"/>
  <c r="N17" i="7" s="1"/>
  <c r="N7" i="7"/>
  <c r="X9" i="7" s="1"/>
  <c r="N6" i="7"/>
  <c r="R15" i="7"/>
  <c r="R16" i="7"/>
  <c r="R17" i="7"/>
  <c r="R18" i="7"/>
  <c r="R19" i="7"/>
  <c r="R20" i="7"/>
  <c r="R21" i="7"/>
  <c r="R25" i="7"/>
  <c r="R26" i="7"/>
  <c r="R27" i="7"/>
  <c r="R28" i="7"/>
  <c r="R29" i="7"/>
  <c r="R30" i="7"/>
  <c r="R31" i="7"/>
  <c r="R35" i="7"/>
  <c r="R36" i="7"/>
  <c r="R37" i="7"/>
  <c r="R38" i="7"/>
  <c r="R39" i="7"/>
  <c r="R40" i="7"/>
  <c r="R41" i="7"/>
  <c r="R45" i="7"/>
  <c r="R46" i="7"/>
  <c r="R47" i="7"/>
  <c r="R48" i="7"/>
  <c r="R49" i="7"/>
  <c r="R50" i="7"/>
  <c r="R51" i="7"/>
  <c r="Q15" i="7"/>
  <c r="Q16" i="7"/>
  <c r="Q17" i="7"/>
  <c r="Q18" i="7"/>
  <c r="Q19" i="7"/>
  <c r="Q20" i="7"/>
  <c r="Q21" i="7"/>
  <c r="Q25" i="7"/>
  <c r="Q26" i="7"/>
  <c r="Q27" i="7"/>
  <c r="Q28" i="7"/>
  <c r="Q29" i="7"/>
  <c r="Q30" i="7"/>
  <c r="Q31" i="7"/>
  <c r="Q35" i="7"/>
  <c r="Q36" i="7"/>
  <c r="Q37" i="7"/>
  <c r="Q38" i="7"/>
  <c r="Q39" i="7"/>
  <c r="Q40" i="7"/>
  <c r="Q41" i="7"/>
  <c r="Q45" i="7"/>
  <c r="Q46" i="7"/>
  <c r="Q47" i="7"/>
  <c r="Q48" i="7"/>
  <c r="Q49" i="7"/>
  <c r="Q50" i="7"/>
  <c r="Q51" i="7"/>
  <c r="Q6" i="7"/>
  <c r="Q7" i="7"/>
  <c r="Q8" i="7"/>
  <c r="Q9" i="7"/>
  <c r="Q10" i="7"/>
  <c r="Q11" i="7"/>
  <c r="P49" i="7"/>
  <c r="P50" i="7"/>
  <c r="P51" i="7"/>
  <c r="P15" i="7"/>
  <c r="P16" i="7"/>
  <c r="P17" i="7"/>
  <c r="P18" i="7"/>
  <c r="P19" i="7"/>
  <c r="P20" i="7"/>
  <c r="P21" i="7"/>
  <c r="P25" i="7"/>
  <c r="P26" i="7"/>
  <c r="P27" i="7"/>
  <c r="P28" i="7"/>
  <c r="P29" i="7"/>
  <c r="P30" i="7"/>
  <c r="P31" i="7"/>
  <c r="P35" i="7"/>
  <c r="P36" i="7"/>
  <c r="P37" i="7"/>
  <c r="P38" i="7"/>
  <c r="P39" i="7"/>
  <c r="P40" i="7"/>
  <c r="P41" i="7"/>
  <c r="P45" i="7"/>
  <c r="P46" i="7"/>
  <c r="P47" i="7"/>
  <c r="P48" i="7"/>
  <c r="P7" i="7"/>
  <c r="P8" i="7"/>
  <c r="P9" i="7"/>
  <c r="P10" i="7"/>
  <c r="P11" i="7"/>
  <c r="P6" i="7"/>
  <c r="L46" i="2"/>
  <c r="K46" i="2"/>
  <c r="I46" i="2"/>
  <c r="L45" i="2"/>
  <c r="I45" i="2"/>
  <c r="I47" i="2" s="1"/>
  <c r="K25" i="2"/>
  <c r="F50" i="2"/>
  <c r="M46" i="2" s="1"/>
  <c r="E50" i="2"/>
  <c r="D50" i="2"/>
  <c r="K45" i="2" s="1"/>
  <c r="C50" i="2"/>
  <c r="J46" i="2" s="1"/>
  <c r="B50" i="2"/>
  <c r="F46" i="2"/>
  <c r="E46" i="2"/>
  <c r="D46" i="2"/>
  <c r="C46" i="2"/>
  <c r="B46" i="2"/>
  <c r="F40" i="2"/>
  <c r="M35" i="2" s="1"/>
  <c r="E40" i="2"/>
  <c r="L36" i="2" s="1"/>
  <c r="D40" i="2"/>
  <c r="K36" i="2" s="1"/>
  <c r="C40" i="2"/>
  <c r="J36" i="2" s="1"/>
  <c r="B40" i="2"/>
  <c r="I35" i="2" s="1"/>
  <c r="F36" i="2"/>
  <c r="E36" i="2"/>
  <c r="D36" i="2"/>
  <c r="C36" i="2"/>
  <c r="B36" i="2"/>
  <c r="F30" i="2"/>
  <c r="M25" i="2" s="1"/>
  <c r="E30" i="2"/>
  <c r="L25" i="2" s="1"/>
  <c r="D30" i="2"/>
  <c r="K26" i="2" s="1"/>
  <c r="K27" i="2" s="1"/>
  <c r="C30" i="2"/>
  <c r="J25" i="2" s="1"/>
  <c r="B30" i="2"/>
  <c r="I25" i="2" s="1"/>
  <c r="F26" i="2"/>
  <c r="E26" i="2"/>
  <c r="D26" i="2"/>
  <c r="C26" i="2"/>
  <c r="B26" i="2"/>
  <c r="F20" i="2"/>
  <c r="M15" i="2" s="1"/>
  <c r="E20" i="2"/>
  <c r="L15" i="2" s="1"/>
  <c r="D20" i="2"/>
  <c r="K15" i="2" s="1"/>
  <c r="C20" i="2"/>
  <c r="J15" i="2" s="1"/>
  <c r="B20" i="2"/>
  <c r="I16" i="2" s="1"/>
  <c r="F16" i="2"/>
  <c r="E16" i="2"/>
  <c r="D16" i="2"/>
  <c r="C16" i="2"/>
  <c r="B16" i="2"/>
  <c r="F10" i="2"/>
  <c r="M6" i="2" s="1"/>
  <c r="E10" i="2"/>
  <c r="L6" i="2" s="1"/>
  <c r="D10" i="2"/>
  <c r="K5" i="2" s="1"/>
  <c r="C10" i="2"/>
  <c r="J5" i="2" s="1"/>
  <c r="B10" i="2"/>
  <c r="I5" i="2" s="1"/>
  <c r="F6" i="2"/>
  <c r="E6" i="2"/>
  <c r="D6" i="2"/>
  <c r="C6" i="2"/>
  <c r="B6" i="2"/>
  <c r="K6" i="2" l="1"/>
  <c r="K7" i="2" s="1"/>
  <c r="J16" i="2"/>
  <c r="J17" i="2" s="1"/>
  <c r="L26" i="2"/>
  <c r="L27" i="2" s="1"/>
  <c r="M36" i="2"/>
  <c r="M37" i="2" s="1"/>
  <c r="I15" i="2"/>
  <c r="I17" i="2" s="1"/>
  <c r="J45" i="2"/>
  <c r="J47" i="2" s="1"/>
  <c r="J6" i="2"/>
  <c r="J7" i="2" s="1"/>
  <c r="K16" i="2"/>
  <c r="K17" i="2" s="1"/>
  <c r="M26" i="2"/>
  <c r="M27" i="2" s="1"/>
  <c r="L16" i="2"/>
  <c r="L17" i="2" s="1"/>
  <c r="M16" i="2"/>
  <c r="M17" i="2" s="1"/>
  <c r="K47" i="2"/>
  <c r="M5" i="2"/>
  <c r="M7" i="2" s="1"/>
  <c r="J35" i="2"/>
  <c r="J37" i="2" s="1"/>
  <c r="M45" i="2"/>
  <c r="M47" i="2" s="1"/>
  <c r="I36" i="2"/>
  <c r="I37" i="2" s="1"/>
  <c r="L47" i="2"/>
  <c r="L5" i="2"/>
  <c r="L7" i="2" s="1"/>
  <c r="K35" i="2"/>
  <c r="K37" i="2" s="1"/>
  <c r="I6" i="2"/>
  <c r="I7" i="2" s="1"/>
  <c r="I26" i="2"/>
  <c r="I27" i="2" s="1"/>
  <c r="L35" i="2"/>
  <c r="L37" i="2" s="1"/>
  <c r="J26" i="2"/>
  <c r="J27" i="2" s="1"/>
</calcChain>
</file>

<file path=xl/sharedStrings.xml><?xml version="1.0" encoding="utf-8"?>
<sst xmlns="http://schemas.openxmlformats.org/spreadsheetml/2006/main" count="1136" uniqueCount="488">
  <si>
    <t>How to Use These Exhibits</t>
  </si>
  <si>
    <t>TileShield Insurance (TSI) — Quantify Case Competition 2026: Brand New Market: AI Liability Insurance</t>
  </si>
  <si>
    <t>1.  What is in this workbook</t>
  </si>
  <si>
    <t>Exhibit A — TSI Financial Data</t>
  </si>
  <si>
    <t>Five years (2021–2025) of TSI's own results, split into its five lines of business: Errors &amp; Omissions (E&amp;O), Cyber Liability, Technology Products Liability, Commercial General Liability (CGL), and Commercial Auto Liability. Used for Assignment Q1 (assess TSI).</t>
  </si>
  <si>
    <t>Exhibit B — AI Incident Data</t>
  </si>
  <si>
    <t>135 external AI-failure incidents (2021–2025) with industry, failure type, human-oversight flag, and estimated insured loss (CAD). This is market/industry data, not TSI's own claims. Used for Assignment Q2 (is AI liability insurable?).</t>
  </si>
  <si>
    <t>Exhibit C — Market Landscape</t>
  </si>
  <si>
    <t>Competitor positioning, Canadian adoption data, and a policy-limit benchmark. Context for Assignment Q3 (the strategic recommendation).</t>
  </si>
  <si>
    <t xml:space="preserve">2.  Core insurance concepts </t>
  </si>
  <si>
    <t>Concept</t>
  </si>
  <si>
    <t>What it means</t>
  </si>
  <si>
    <t>Exposure</t>
  </si>
  <si>
    <t>The volume of insured business TSI covers, such as the number of commercial policies, insured companies, vehicles, or technology clients. It is the base used to measure how much risk TSI has taken on.</t>
  </si>
  <si>
    <t>Earned Premium</t>
  </si>
  <si>
    <t>The premium revenue TSI recognizes for coverage it has already provided during the year. This is the amount used to evaluate whether TSI collected enough premium to pay for claims and expenses.</t>
  </si>
  <si>
    <t>Claim Count</t>
  </si>
  <si>
    <t>The number of claims TSI records during the year. For AI-related or specialty commercial risks, claim count helps show whether incidents are becoming more frequent.</t>
  </si>
  <si>
    <t>Incurred Losses</t>
  </si>
  <si>
    <t>The estimated total cost of TSI’s claims for the year, including paid claims and reserves for unpaid claims. This shows the actual loss cost of TSI’s insured risks.</t>
  </si>
  <si>
    <t>Operating Expenses</t>
  </si>
  <si>
    <t>The costs TSI incurs to operate and manage its insurance business, including underwriting, claims management, commissions, data systems, and administration. These costs affect overall profitability.</t>
  </si>
  <si>
    <t>3.  Core insurance formulas</t>
  </si>
  <si>
    <t>Metric</t>
  </si>
  <si>
    <t>Formula</t>
  </si>
  <si>
    <t xml:space="preserve">What it measures </t>
  </si>
  <si>
    <t>Claim Frequency</t>
  </si>
  <si>
    <t>Claim Count ÷ Exposure</t>
  </si>
  <si>
    <t>How often claims occur per unit of exposure. Rising frequency means more claims are being filed against the same book of business.</t>
  </si>
  <si>
    <t>Average Severity</t>
  </si>
  <si>
    <t>Incurred Losses ÷ Claim Count</t>
  </si>
  <si>
    <t>The average cost of a claim once it occurs. Rising severity means each claim is getting more expensive.</t>
  </si>
  <si>
    <t>Pure Premium (Loss Cost)</t>
  </si>
  <si>
    <t>Frequency × Severity  =  Incurred Losses ÷ Exposure</t>
  </si>
  <si>
    <t>Expected loss per exposure unit. Bridges frequency and severity, and is the loss building block of a risk-based price.</t>
  </si>
  <si>
    <t>Loss Ratio</t>
  </si>
  <si>
    <t>Incurred Losses ÷ Earned Premium</t>
  </si>
  <si>
    <t>Share of premium paid back out as claims. Lower is better; a rising loss ratio signals losses outpacing pricing.</t>
  </si>
  <si>
    <t>Expense Ratio</t>
  </si>
  <si>
    <t>Operating Expenses ÷ Earned Premium</t>
  </si>
  <si>
    <t>Share of premium spent running the line (underwriting, admin, distribution).</t>
  </si>
  <si>
    <t>Combined Ratio</t>
  </si>
  <si>
    <t>Loss Ratio + Expense Ratio</t>
  </si>
  <si>
    <t>The headline profitability test. Below 100% = underwriting profit; above 100% = underwriting loss before investment income.</t>
  </si>
  <si>
    <t>TSI Financial Data</t>
  </si>
  <si>
    <t>Unit $1,000</t>
  </si>
  <si>
    <t>Errors &amp; Omissions</t>
  </si>
  <si>
    <t>Year</t>
  </si>
  <si>
    <t>Claim_Frequency</t>
  </si>
  <si>
    <t>Earned_Premium</t>
  </si>
  <si>
    <t>Claim_Count</t>
  </si>
  <si>
    <t>Incurred_Losses</t>
  </si>
  <si>
    <t>Average_Severity</t>
  </si>
  <si>
    <t>Operating_Expenses</t>
  </si>
  <si>
    <t>Cyber Liability</t>
  </si>
  <si>
    <t>Technology Products Liability</t>
  </si>
  <si>
    <t>Commercial General Liability</t>
  </si>
  <si>
    <t>Commercial Auto Liability</t>
  </si>
  <si>
    <t>AI Incident Data</t>
  </si>
  <si>
    <t>ID</t>
  </si>
  <si>
    <t>Title/Description</t>
  </si>
  <si>
    <t>Incident Date</t>
  </si>
  <si>
    <t>Industry</t>
  </si>
  <si>
    <t>Failure Type</t>
  </si>
  <si>
    <t>Human Oversight</t>
  </si>
  <si>
    <t>Estimated Insured Loss (CAD)</t>
  </si>
  <si>
    <t>AI-0001</t>
  </si>
  <si>
    <t>Mortgage-approval AI denied applications in racialized neighborhoods at higher rate</t>
  </si>
  <si>
    <t>Financial Services</t>
  </si>
  <si>
    <t>Algorithmic Bias</t>
  </si>
  <si>
    <t>Yes</t>
  </si>
  <si>
    <t>AI-0002</t>
  </si>
  <si>
    <t>AI scribe invented patient symptoms in discharge summary</t>
  </si>
  <si>
    <t>Healthcare</t>
  </si>
  <si>
    <t>Hallucinated Output</t>
  </si>
  <si>
    <t>No</t>
  </si>
  <si>
    <t>AI-0003</t>
  </si>
  <si>
    <t>Pharmacy AI assistant transmitted prescription data to unauthorized third party</t>
  </si>
  <si>
    <t>Privacy and Security</t>
  </si>
  <si>
    <t>AI-0004</t>
  </si>
  <si>
    <t>Clinical chatbot logged sensitive intake notes to public training dataset</t>
  </si>
  <si>
    <t>AI-0005</t>
  </si>
  <si>
    <t>Product recommendation AI fabricated specifications for listed items</t>
  </si>
  <si>
    <t>E-commerce</t>
  </si>
  <si>
    <t>AI-0006</t>
  </si>
  <si>
    <t>Credit-scoring AI used postal code as proxy for race, regulator fined lender</t>
  </si>
  <si>
    <t>AI-0007</t>
  </si>
  <si>
    <t>AI-generated phishing breached client portal of regional bank</t>
  </si>
  <si>
    <t>Cyber Exploitation via AI</t>
  </si>
  <si>
    <t>AI-0008</t>
  </si>
  <si>
    <t>AI copywriter produced misleading comparative advertising, regulator fined firm</t>
  </si>
  <si>
    <t>Marketing/Advertising</t>
  </si>
  <si>
    <t>Misinformation</t>
  </si>
  <si>
    <t>AI-0009</t>
  </si>
  <si>
    <t>AI press release hallucinated executive quotes</t>
  </si>
  <si>
    <t>AI-0010</t>
  </si>
  <si>
    <t>AI image generator created racially stereotyped campaign visuals</t>
  </si>
  <si>
    <t>AI-0011</t>
  </si>
  <si>
    <t>Diagnostic AI vendor breach leaked imaging data of 75,000 patients</t>
  </si>
  <si>
    <t>AI-0012</t>
  </si>
  <si>
    <t>EHR-integrated AI exposed mental health notes through prompt injection attack</t>
  </si>
  <si>
    <t>AI-0013</t>
  </si>
  <si>
    <t>Self-healing AI escalated outage by restarting healthy nodes</t>
  </si>
  <si>
    <t>Technology/SaaS</t>
  </si>
  <si>
    <t>Autonomous System Failure</t>
  </si>
  <si>
    <t>AI-0014</t>
  </si>
  <si>
    <t>AI-generated platform notification spread false outage information</t>
  </si>
  <si>
    <t>AI-0015</t>
  </si>
  <si>
    <t>Paralegal AI assistant fabricated quotes from real Supreme Court rulings</t>
  </si>
  <si>
    <t>Legal Services</t>
  </si>
  <si>
    <t>AI-0016</t>
  </si>
  <si>
    <t>AI-generated malware bypassed endpoint detection at SaaS provider</t>
  </si>
  <si>
    <t>AI-0017</t>
  </si>
  <si>
    <t>Skills-matching AI excluded candidates with disability accommodations</t>
  </si>
  <si>
    <t>HR/Recruiting</t>
  </si>
  <si>
    <t>AI-0018</t>
  </si>
  <si>
    <t>Law firm's AI intake bot leaked client conflict-check data</t>
  </si>
  <si>
    <t>AI-0019</t>
  </si>
  <si>
    <t>Robotic surgery assistant deviated from planned trajectory, patient injury</t>
  </si>
  <si>
    <t>AI-0020</t>
  </si>
  <si>
    <t>AI code review tool approved security-vulnerable pull request</t>
  </si>
  <si>
    <t>AI-0021</t>
  </si>
  <si>
    <t>Deepfake voice attack targeted marketing/advertising company executive</t>
  </si>
  <si>
    <t>AI-0022</t>
  </si>
  <si>
    <t>Recommendation AI exposed purchase histories of 120 customers</t>
  </si>
  <si>
    <t>AI-0023</t>
  </si>
  <si>
    <t>Ad targeting AI exposed user behavioral data through model inversion attack</t>
  </si>
  <si>
    <t>AI-0024</t>
  </si>
  <si>
    <t>Content moderation AI disproportionately flagged minority-language posts</t>
  </si>
  <si>
    <t>AI-0025</t>
  </si>
  <si>
    <t>AI-generated job description listed nonexistent legal requirements</t>
  </si>
  <si>
    <t>AI-0026</t>
  </si>
  <si>
    <t>Trademark search AI invented prior art that did not exist</t>
  </si>
  <si>
    <t>AI-0027</t>
  </si>
  <si>
    <t>Voice-cloned celebrity ad ran without consent, lawsuit filed</t>
  </si>
  <si>
    <t>AI-0028</t>
  </si>
  <si>
    <t>AI-generated ad campaign used fabricated customer testimonials</t>
  </si>
  <si>
    <t>AI-0029</t>
  </si>
  <si>
    <t>Cloud-based AI legal tool exposed confidential M&amp;A documents</t>
  </si>
  <si>
    <t>AI-0030</t>
  </si>
  <si>
    <t>Immigration AI tool cited fake precedents in federal court filing</t>
  </si>
  <si>
    <t>AI-0031</t>
  </si>
  <si>
    <t>Robo-advisor AI logged client SIN numbers to third-party LLM provider</t>
  </si>
  <si>
    <t>AI-0032</t>
  </si>
  <si>
    <t>AI voice clone defeated bank's biometric authentication</t>
  </si>
  <si>
    <t>AI-0033</t>
  </si>
  <si>
    <t>AI image tool produced culturally insensitive holiday campaign imagery</t>
  </si>
  <si>
    <t>AI-0034</t>
  </si>
  <si>
    <t>Voice analysis AI in interviews discriminated against accented speakers</t>
  </si>
  <si>
    <t>AI-0035</t>
  </si>
  <si>
    <t>Autonomous deployment AI rolled out broken update to 2,400 production servers</t>
  </si>
  <si>
    <t>AI-0036</t>
  </si>
  <si>
    <t>ML pipeline misconfiguration exposed customer training data</t>
  </si>
  <si>
    <t>AI-0037</t>
  </si>
  <si>
    <t>Autonomous AI system executed unintended actions causing major incident</t>
  </si>
  <si>
    <t>AI-0038</t>
  </si>
  <si>
    <t>AI-driven account takeover bypassed retailer's fraud detection</t>
  </si>
  <si>
    <t>AI-0039</t>
  </si>
  <si>
    <t>Generative AI campaign fabricated award and certification claims</t>
  </si>
  <si>
    <t>AI-0040</t>
  </si>
  <si>
    <t>AI vendor breach leaked source code repositories of 2,400 enterprise clients</t>
  </si>
  <si>
    <t>AI-0041</t>
  </si>
  <si>
    <t>AI-generated fake reviews fueled fraud ring on marketplace platform</t>
  </si>
  <si>
    <t>AI-0042</t>
  </si>
  <si>
    <t>Talent-matching AI downranked applicants who disclosed medical leave history</t>
  </si>
  <si>
    <t>AI-0043</t>
  </si>
  <si>
    <t>Dynamic pricing AI charged higher prices to customers in low-income postal codes</t>
  </si>
  <si>
    <t>AI-0044</t>
  </si>
  <si>
    <t>AI legal research tool invented nonexistent statute in client memo</t>
  </si>
  <si>
    <t>AI-0045</t>
  </si>
  <si>
    <t>AI-crafted spear phishing breached law firm client trust account</t>
  </si>
  <si>
    <t>AI-0046</t>
  </si>
  <si>
    <t>Resume-screening AI filtered out candidates with non-English names</t>
  </si>
  <si>
    <t>AI-0047</t>
  </si>
  <si>
    <t>Deepfake political ad attributed false statements to public official</t>
  </si>
  <si>
    <t>AI-0048</t>
  </si>
  <si>
    <t>Autonomous content moderation AI banned 580 legitimate accounts in cascade</t>
  </si>
  <si>
    <t>AI-0049</t>
  </si>
  <si>
    <t>Clinical decision support AI fabricated drug interaction warning</t>
  </si>
  <si>
    <t>AI-0050</t>
  </si>
  <si>
    <t>Autonomous content moderation AI banned 340 legitimate accounts in cascade</t>
  </si>
  <si>
    <t>AI-0051</t>
  </si>
  <si>
    <t>Legal marketing AI published inaccurate compliance summary</t>
  </si>
  <si>
    <t>AI-0052</t>
  </si>
  <si>
    <t>Chatbot logged credit card numbers to vendor training dataset</t>
  </si>
  <si>
    <t>AI-0053</t>
  </si>
  <si>
    <t>Insurance pricing AI charged higher premiums to immigrant policyholders</t>
  </si>
  <si>
    <t>AI-0054</t>
  </si>
  <si>
    <t>Law firm filed brief citing 150,000 fictitious case citations from ChatGPT</t>
  </si>
  <si>
    <t>AI-0055</t>
  </si>
  <si>
    <t>Deepfake voice scam impersonated customer service to drain accounts</t>
  </si>
  <si>
    <t>AI-0056</t>
  </si>
  <si>
    <t>AI recruiting tool published job posting citing fabricated certification requirements</t>
  </si>
  <si>
    <t>AI-0057</t>
  </si>
  <si>
    <t>Marketing AI vendor leaked customer email lists in training data</t>
  </si>
  <si>
    <t>AI-0058</t>
  </si>
  <si>
    <t>Recruiting AI vendor breach exposed 28,000 applicant resumes</t>
  </si>
  <si>
    <t>AI-0059</t>
  </si>
  <si>
    <t>SaaS AI feature exposed 28,000 customer documents via shared model context</t>
  </si>
  <si>
    <t>AI-0060</t>
  </si>
  <si>
    <t>Autonomous deployment AI rolled out broken update to 340 production servers</t>
  </si>
  <si>
    <t>AI-0061</t>
  </si>
  <si>
    <t>Home-equity loan AI applied stricter terms in predominantly minority postal codes</t>
  </si>
  <si>
    <t>AI-0062</t>
  </si>
  <si>
    <t>AI bot network hijacked customer loyalty accounts at online marketplace</t>
  </si>
  <si>
    <t>AI-0063</t>
  </si>
  <si>
    <t>Customer service chatbot invented refund policy, retailer honored 580 claims</t>
  </si>
  <si>
    <t>AI-0064</t>
  </si>
  <si>
    <t>AI-driven ventilator weaning system caused respiratory distress event</t>
  </si>
  <si>
    <t>AI-0065</t>
  </si>
  <si>
    <t>AI meeting transcription leaked confidential strategy session</t>
  </si>
  <si>
    <t>AI-0066</t>
  </si>
  <si>
    <t>Adversarial AI evaded fraud-detection model at credit union</t>
  </si>
  <si>
    <t>AI-0067</t>
  </si>
  <si>
    <t>AI newsletter for law firm clients misstated new privacy regulation deadlines</t>
  </si>
  <si>
    <t>AI-0068</t>
  </si>
  <si>
    <t>Workforce planning AI recommended disproportionate layoffs of older staff</t>
  </si>
  <si>
    <t>AI-0069</t>
  </si>
  <si>
    <t>AI research assistant cited repealed legislation as current law in court filing</t>
  </si>
  <si>
    <t>AI-0070</t>
  </si>
  <si>
    <t>AI-personalized phishing emails compromised wealth-management client accounts</t>
  </si>
  <si>
    <t>AI-0071</t>
  </si>
  <si>
    <t>AI ad copy invented industry rankings for client product launch</t>
  </si>
  <si>
    <t>AI-0072</t>
  </si>
  <si>
    <t>Medication-review AI flagged fictitious contraindication, delaying patient treatment</t>
  </si>
  <si>
    <t>AI-0073</t>
  </si>
  <si>
    <t>Auto-loan scoring AI weighted neighborhood income as proxy for protected class</t>
  </si>
  <si>
    <t>AI-0074</t>
  </si>
  <si>
    <t>AI-generated voicemail scam diverted settlement funds from law firm escrow</t>
  </si>
  <si>
    <t>AI-0075</t>
  </si>
  <si>
    <t>Patient-portal AI chatbot revealed other patients' lab results in responses</t>
  </si>
  <si>
    <t>AI-0076</t>
  </si>
  <si>
    <t>Returns AI gave customers nonexistent discount codes</t>
  </si>
  <si>
    <t>AI-0077</t>
  </si>
  <si>
    <t>AI promotion-prediction tool disadvantaged Black employees</t>
  </si>
  <si>
    <t>AI-0078</t>
  </si>
  <si>
    <t>AI banking assistant quoted incorrect mortgage rates to 580 customers</t>
  </si>
  <si>
    <t>AI-0079</t>
  </si>
  <si>
    <t>Renters-insurance AI quoted higher rates to non-native English speakers</t>
  </si>
  <si>
    <t>AI-0080</t>
  </si>
  <si>
    <t>AI-drafted will referenced nonexistent provincial statute</t>
  </si>
  <si>
    <t>AI-0081</t>
  </si>
  <si>
    <t>AI background check tool leaked candidate medical disclosures</t>
  </si>
  <si>
    <t>AI-0082</t>
  </si>
  <si>
    <t>AI ad copy invented product features that did not exist</t>
  </si>
  <si>
    <t>AI-0083</t>
  </si>
  <si>
    <t>Estate-planning AI cited fictitious tax exemption in trust documents</t>
  </si>
  <si>
    <t>AI-0084</t>
  </si>
  <si>
    <t>Deepfake video ad depicted competitor CEO making false safety claims</t>
  </si>
  <si>
    <t>AI-0085</t>
  </si>
  <si>
    <t>AI underwriting tool penalized self-employed applicants disproportionately</t>
  </si>
  <si>
    <t>AI-0086</t>
  </si>
  <si>
    <t>Interview-screening AI scored candidates lower for speech patterns linked to disability</t>
  </si>
  <si>
    <t>AI-0087</t>
  </si>
  <si>
    <t>AI voice clone of local news anchor used in unauthorized radio spots</t>
  </si>
  <si>
    <t>AI-0088</t>
  </si>
  <si>
    <t>Insurance claims AI denied disproportionate share of Indigenous patient claims</t>
  </si>
  <si>
    <t>AI-0089</t>
  </si>
  <si>
    <t>AI vendor breach leaked source code repositories of 4,800 enterprise clients</t>
  </si>
  <si>
    <t>AI-0090</t>
  </si>
  <si>
    <t>AI-generated market commentary on bank website misstated economic indicators</t>
  </si>
  <si>
    <t>AI-0091</t>
  </si>
  <si>
    <t>AI campaign generator overstated product efficacy against competitor claims</t>
  </si>
  <si>
    <t>AI-0092</t>
  </si>
  <si>
    <t>AI coding assistant introduced deprecated encryption library into production build</t>
  </si>
  <si>
    <t>AI-0093</t>
  </si>
  <si>
    <t>Synthetic identity built with AI passed bank's automated onboarding checks</t>
  </si>
  <si>
    <t>AI-0094</t>
  </si>
  <si>
    <t>Prompt injection attack on customer-facing AI exposed enterprise credentials</t>
  </si>
  <si>
    <t>AI-0095</t>
  </si>
  <si>
    <t>Performance-ranking AI systematically underrated employees over 55</t>
  </si>
  <si>
    <t>AI-0096</t>
  </si>
  <si>
    <t>Checkout assistant AI stored payment details in unsecured analytics logs</t>
  </si>
  <si>
    <t>AI-0097</t>
  </si>
  <si>
    <t>Patent-search AI reported fictitious filings, derailing client application</t>
  </si>
  <si>
    <t>AI-0098</t>
  </si>
  <si>
    <t>AI tax-prep tool invented eligible deductions, CRA reassessment followed</t>
  </si>
  <si>
    <t>AI-0099</t>
  </si>
  <si>
    <t>AI fraud-detection vendor breach leaked transaction data of 150,000 customers</t>
  </si>
  <si>
    <t>AI-0100</t>
  </si>
  <si>
    <t>SaaS AI feature exposed 4,800 customer documents via shared model context</t>
  </si>
  <si>
    <t>AI-0101</t>
  </si>
  <si>
    <t>Product description AI generated false ingredient list for cosmetics</t>
  </si>
  <si>
    <t>AI-0102</t>
  </si>
  <si>
    <t>AI careers-page generator claimed nonexistent visa sponsorship program</t>
  </si>
  <si>
    <t>AI-0103</t>
  </si>
  <si>
    <t>IP-clearance AI fabricated registration records in trademark opinion</t>
  </si>
  <si>
    <t>AI-0104</t>
  </si>
  <si>
    <t>Discovery AI summarized documents with fabricated content</t>
  </si>
  <si>
    <t>AI-0105</t>
  </si>
  <si>
    <t>Law-firm blog AI misreported scope of new employment legislation</t>
  </si>
  <si>
    <t>AI-0106</t>
  </si>
  <si>
    <t>Telehealth triage AI transmitted session transcripts to third-party vendor</t>
  </si>
  <si>
    <t>AI-0107</t>
  </si>
  <si>
    <t>AI-generated news-style ad spread false product recall story</t>
  </si>
  <si>
    <t>AI-0108</t>
  </si>
  <si>
    <t>Autonomous infusion pump miscalculated dosage during AI override</t>
  </si>
  <si>
    <t>AI-0109</t>
  </si>
  <si>
    <t>Robo-advisor newsletter AI misquoted central bank rate guidance</t>
  </si>
  <si>
    <t>AI-0110</t>
  </si>
  <si>
    <t>CV-parsing AI rejected applicants with foreign university credentials</t>
  </si>
  <si>
    <t>AI-0111</t>
  </si>
  <si>
    <t>AI support chatbot invented nonexistent product feature, customer churn followed</t>
  </si>
  <si>
    <t>AI-0112</t>
  </si>
  <si>
    <t>Brand-clearance AI invented conflicting marks in availability search</t>
  </si>
  <si>
    <t>AI-0113</t>
  </si>
  <si>
    <t>Litigation-summary AI attributed fabricated statements to deposition witness</t>
  </si>
  <si>
    <t>AI-0114</t>
  </si>
  <si>
    <t>AI-driven feature gating excluded users in specific regions without notice</t>
  </si>
  <si>
    <t>AI-0115</t>
  </si>
  <si>
    <t>Trademark-watch AI generated false infringement alerts, client filed needless opposition</t>
  </si>
  <si>
    <t>AI-0116</t>
  </si>
  <si>
    <t>Prior-authorization AI denied rural Indigenous patients at elevated rates</t>
  </si>
  <si>
    <t>AI-0117</t>
  </si>
  <si>
    <t>Succession-planning AI excluded older employees from advancement pools</t>
  </si>
  <si>
    <t>AI-0118</t>
  </si>
  <si>
    <t>Dermatology AI showed lower accuracy on darker skin tones in clinical pilot</t>
  </si>
  <si>
    <t>AI-0119</t>
  </si>
  <si>
    <t>Employee-wellness AI shared health survey responses with hiring managers</t>
  </si>
  <si>
    <t>AI-0120</t>
  </si>
  <si>
    <t>Commercial-policy pricing AI loaded premiums by owner surname origin</t>
  </si>
  <si>
    <t>AI-0121</t>
  </si>
  <si>
    <t>Audience-segmentation AI leaked identifiable browsing profiles to ad partners</t>
  </si>
  <si>
    <t>AI-0122</t>
  </si>
  <si>
    <t>Symptom-checker AI invented drug recall, patients stopped medication</t>
  </si>
  <si>
    <t>AI-0123</t>
  </si>
  <si>
    <t>Contract-drafting AI inserted clause citing nonexistent consumer protection act</t>
  </si>
  <si>
    <t>AI-0124</t>
  </si>
  <si>
    <t>AI credential-stuffing campaign drained stored-value gift card balances</t>
  </si>
  <si>
    <t>AI-0125</t>
  </si>
  <si>
    <t>Personality assessment AI scored neurodivergent candidates poorly</t>
  </si>
  <si>
    <t>AI-0126</t>
  </si>
  <si>
    <t>Synthetic ID fraud ring used GenAI to open 340 accounts</t>
  </si>
  <si>
    <t>AI-0127</t>
  </si>
  <si>
    <t>AI test-generation tool masked failing security checks with fabricated passing results</t>
  </si>
  <si>
    <t>AI-0128</t>
  </si>
  <si>
    <t>Risk-scoring AI underestimated cardiac risk for female patients</t>
  </si>
  <si>
    <t>AI-0129</t>
  </si>
  <si>
    <t>Generative AI chat scam impersonated support agents, harvesting customer logins</t>
  </si>
  <si>
    <t>AI-0130</t>
  </si>
  <si>
    <t>Family law AI memo cited overturned cases as binding precedent</t>
  </si>
  <si>
    <t>AI-0131</t>
  </si>
  <si>
    <t>Product-page AI listed fictitious clinical study supporting skincare claims</t>
  </si>
  <si>
    <t>AI-0132</t>
  </si>
  <si>
    <t>Returns-processing AI emailed order histories to wrong customers in bulk</t>
  </si>
  <si>
    <t>AI-0133</t>
  </si>
  <si>
    <t>Document-automation AI exposed privileged client files via shared template cache</t>
  </si>
  <si>
    <t>AI-0134</t>
  </si>
  <si>
    <t>Employee monitoring AI transmitted webcam data to overseas server</t>
  </si>
  <si>
    <t>AI-0135</t>
  </si>
  <si>
    <t>Discharge-planning AI fabricated follow-up appointment instructions, patient harm</t>
  </si>
  <si>
    <t>Market Landscape</t>
  </si>
  <si>
    <t>Competitor positioning, Canadian market data, and policy-limit benchmark for AI liability insurance.</t>
  </si>
  <si>
    <t>A. Competitor Positioning</t>
  </si>
  <si>
    <t>Competitor</t>
  </si>
  <si>
    <t>Approach / Structure</t>
  </si>
  <si>
    <t>Target Segment</t>
  </si>
  <si>
    <t>Coverage Scope</t>
  </si>
  <si>
    <t>Market Role / Stance</t>
  </si>
  <si>
    <t>Source</t>
  </si>
  <si>
    <t>Munich Re / HSB</t>
  </si>
  <si>
    <t>Embedded AI Liability endorsement added to partner carriers’ existing business policies; not sold directly.</t>
  </si>
  <si>
    <t>Main Street SMEs (micro, small, medium).</t>
  </si>
  <si>
    <t>Bodily injury, property damage, and advertising injury from AI-generated content or automated systems.</t>
  </si>
  <si>
    <t>Building pricing, underwriting, and accumulation controls; anticipates repurchase demand as ISO exclusions take hold.</t>
  </si>
  <si>
    <t>Testudo</t>
  </si>
  <si>
    <t>Standalone Generative AI Liability product, backed by Lloyd’s syndicates; written as its own coverage.</t>
  </si>
  <si>
    <t>Enterprises deploying generative AI.</t>
  </si>
  <si>
    <t>Third-party claims from generative AI outputs, where standard CGL may not respond.</t>
  </si>
  <si>
    <t>Built around the carve-out of AI risk from traditional CGL.</t>
  </si>
  <si>
    <t>testudo.co</t>
  </si>
  <si>
    <t>Coalition</t>
  </si>
  <si>
    <t>Affirmative AI Endorsement added to existing cyber policies (US surplus and Canada); not standalone.</t>
  </si>
  <si>
    <t>Rooted in SMEs; capacity extended to mid-market and enterprise.</t>
  </si>
  <si>
    <t>AI security events and deepfake / AI funds-transfer fraud, within cyber coverage.</t>
  </si>
  <si>
    <t>Reduces “silent AI” ambiguity by affirmatively defining when AI incidents are covered.</t>
  </si>
  <si>
    <t>Traditional Carriers</t>
  </si>
  <si>
    <t>Standard CGL / E&amp;O / D&amp;O wording with no AI-specific language.</t>
  </si>
  <si>
    <t>All commercial segments.</t>
  </si>
  <si>
    <t>May or may not respond to AI claims; coverage is ambiguous (“silent AI”).</t>
  </si>
  <si>
    <t>Largely wait-and-see; some beginning to attach ISO exclusions.</t>
  </si>
  <si>
    <t>Business Insurance (Apr 2026)</t>
  </si>
  <si>
    <t>Note: Coalition’s AI endorsement sits within cyber coverage, narrower than the general AI-liability framing of the strategic options; included as a third endorsement-model precedent, not a like-for-like comparison.</t>
  </si>
  <si>
    <t>B. Canadian Market — Key Data</t>
  </si>
  <si>
    <t>The AI market is estimated to have a current total valuation of roughly $600 billion in 2026. AI adoption in Canada is rising quickly but off a low base. Statistics Canada reports that 12.2% of Canadian firms used AI to produce goods or deliver services in 2025, double the 6.1% recorded in 2024, with a further 14.5% planning to adopt within twelve months, meaning the addressable risk pool is expanding rapidly rather than already mature. Finance and insurance is among the highest-adopting sectors at 30.6%. Enterprise adoption outpaces the small-business segment: roughly 37% of IT professionals in large Canadian enterprises report actively deploying AI, which reinforces the segment tension in the standalone-product option. On the supply side, the Canadian market is moving through endorsements rather than standalone products: Coalition’s affirmative AI endorsement on its Canada cyber policies is the visible local precedent, mirroring the HSB embedded-coverage model and contrasting with Testudo’s enterprise-focused standalone product, which is not shown to be available in Canada.</t>
  </si>
  <si>
    <t>https://www.coalitioninc.com/</t>
  </si>
  <si>
    <t>https://www.munichre.com/en.html/hsb (Mar 2026)</t>
  </si>
  <si>
    <t>Row Labels</t>
  </si>
  <si>
    <t>Grand Total</t>
  </si>
  <si>
    <t>Sum of Estimated Insured Loss (CAD)</t>
  </si>
  <si>
    <t>Average of Estimated Insured Loss (CAD)</t>
  </si>
  <si>
    <t>Estimated Profit</t>
  </si>
  <si>
    <t>28-10-2024</t>
  </si>
  <si>
    <t>28-07-2025</t>
  </si>
  <si>
    <t>28-06-2021</t>
  </si>
  <si>
    <t>28-05-2023</t>
  </si>
  <si>
    <t>28-04-2025</t>
  </si>
  <si>
    <t>28-04-2023</t>
  </si>
  <si>
    <t>28-03-2025</t>
  </si>
  <si>
    <t>28-02-2024</t>
  </si>
  <si>
    <t>27-07-2023</t>
  </si>
  <si>
    <t>27-05-2025</t>
  </si>
  <si>
    <t>27-02-2024</t>
  </si>
  <si>
    <t>26-05-2021</t>
  </si>
  <si>
    <t>26-03-2021</t>
  </si>
  <si>
    <t>25-11-2025</t>
  </si>
  <si>
    <t>25-09-2022</t>
  </si>
  <si>
    <t>25-02-2025</t>
  </si>
  <si>
    <t>24-12-2023</t>
  </si>
  <si>
    <t>24-10-2023</t>
  </si>
  <si>
    <t>24-09-2021</t>
  </si>
  <si>
    <t>24-04-2025</t>
  </si>
  <si>
    <t>24-01-2023</t>
  </si>
  <si>
    <t>23-08-2024</t>
  </si>
  <si>
    <t>23-07-2023</t>
  </si>
  <si>
    <t>23-05-2024</t>
  </si>
  <si>
    <t>22-12-2025</t>
  </si>
  <si>
    <t>22-11-2025</t>
  </si>
  <si>
    <t>22-09-2022</t>
  </si>
  <si>
    <t>22-04-2024</t>
  </si>
  <si>
    <t>22-02-2021</t>
  </si>
  <si>
    <t>22-01-2024</t>
  </si>
  <si>
    <t>21-11-2025</t>
  </si>
  <si>
    <t>21-10-2025</t>
  </si>
  <si>
    <t>21-08-2023</t>
  </si>
  <si>
    <t>21-07-2025</t>
  </si>
  <si>
    <t>21-04-2024</t>
  </si>
  <si>
    <t>21-03-2024</t>
  </si>
  <si>
    <t>21-02-2025</t>
  </si>
  <si>
    <t>20-11-2021</t>
  </si>
  <si>
    <t>20-01-2023</t>
  </si>
  <si>
    <t>20-01-2022</t>
  </si>
  <si>
    <t>19-10-2022</t>
  </si>
  <si>
    <t>19-08-2024</t>
  </si>
  <si>
    <t>18-12-2024</t>
  </si>
  <si>
    <t>18-09-2025</t>
  </si>
  <si>
    <t>18-09-2021</t>
  </si>
  <si>
    <t>18-08-2024</t>
  </si>
  <si>
    <t>18-07-2023</t>
  </si>
  <si>
    <t>17-12-2025</t>
  </si>
  <si>
    <t>17-07-2025</t>
  </si>
  <si>
    <t>17-05-2025</t>
  </si>
  <si>
    <t>16-12-2025</t>
  </si>
  <si>
    <t>16-12-2024</t>
  </si>
  <si>
    <t>16-11-2025</t>
  </si>
  <si>
    <t>16-07-2023</t>
  </si>
  <si>
    <t>16-07-2022</t>
  </si>
  <si>
    <t>15-08-2025</t>
  </si>
  <si>
    <t>15-05-2024</t>
  </si>
  <si>
    <t>15-02-2022</t>
  </si>
  <si>
    <t>14-11-2023</t>
  </si>
  <si>
    <t>14-10-2021</t>
  </si>
  <si>
    <t>14-06-2025</t>
  </si>
  <si>
    <t>14-05-2025</t>
  </si>
  <si>
    <t>14-03-2023</t>
  </si>
  <si>
    <t>13-09-2024</t>
  </si>
  <si>
    <t>13-06-2021</t>
  </si>
  <si>
    <t>13-04-2023</t>
  </si>
  <si>
    <t>13-02-2023</t>
  </si>
  <si>
    <t>Year Category</t>
  </si>
  <si>
    <t>Column Labels</t>
  </si>
  <si>
    <t>Estimated NAR</t>
  </si>
  <si>
    <t>Profit Margin</t>
  </si>
  <si>
    <t>Projections 2026</t>
  </si>
  <si>
    <t>Projected Value</t>
  </si>
  <si>
    <t>Correlation</t>
  </si>
  <si>
    <t>Special</t>
  </si>
  <si>
    <t>Estimated Projected Loss</t>
  </si>
  <si>
    <t>ABS Correlation</t>
  </si>
  <si>
    <t>Estimated Values</t>
  </si>
  <si>
    <t>Differential</t>
  </si>
  <si>
    <t>Transposed: For Pivot Charts</t>
  </si>
  <si>
    <t>Errors and Omissions</t>
  </si>
  <si>
    <t>Sum of Estimated Profit</t>
  </si>
  <si>
    <t>Sum of Profit Margin</t>
  </si>
  <si>
    <t>Updated Profit</t>
  </si>
  <si>
    <t>Updated Profit Margin</t>
  </si>
  <si>
    <t>Profit Margin Difference</t>
  </si>
  <si>
    <t>Hallucination Loss count</t>
  </si>
  <si>
    <t>Algorithmic Bias Loss count</t>
  </si>
  <si>
    <t>Autonomous System Failure Loss count</t>
  </si>
  <si>
    <t>Cyber Exploitation Count</t>
  </si>
  <si>
    <t>Misinformation Loss count</t>
  </si>
  <si>
    <t>Privacy and Security Count</t>
  </si>
  <si>
    <t>Commercial General Profit</t>
  </si>
  <si>
    <t>Commercial general profit margin</t>
  </si>
  <si>
    <t>Commercial Auto Profit</t>
  </si>
  <si>
    <t>Commercial Auto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</si>
</sst>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quot;$&quot;* #,##0.00_);_(&quot;$&quot;* \(#,##0.00\);_(&quot;$&quot;* &quot;-&quot;??_);_(@_)"/>
    <numFmt numFmtId="165" formatCode="0.0000"/>
    <numFmt numFmtId="166" formatCode="\$#,##0"/>
    <numFmt numFmtId="167" formatCode="dd/mm/yyyy;@"/>
    <numFmt numFmtId="168" formatCode="0.000%"/>
    <numFmt numFmtId="169" formatCode="0.0000%"/>
    <numFmt numFmtId="170" formatCode="0.00000%"/>
    <numFmt numFmtId="171" formatCode="0.0%"/>
    <numFmt numFmtId="172" formatCode="0.000000%"/>
  </numFmts>
  <fonts count="33">
    <font>
      <sz val="10"/>
      <color rgb="FF000000"/>
      <name val="Arial"/>
      <charset val="1"/>
    </font>
    <font>
      <sz val="11"/>
      <color theme="1"/>
      <name val="Arial"/>
      <family val="2"/>
      <scheme val="minor"/>
    </font>
    <font>
      <b/>
      <sz val="15"/>
      <color rgb="FF1155CC"/>
      <name val="Arial"/>
      <family val="2"/>
    </font>
    <font>
      <i/>
      <sz val="10"/>
      <color rgb="FF555555"/>
      <name val="Arial"/>
      <family val="2"/>
    </font>
    <font>
      <b/>
      <sz val="12"/>
      <color rgb="FF1155CC"/>
      <name val="Arial"/>
      <family val="2"/>
    </font>
    <font>
      <b/>
      <sz val="10"/>
      <color rgb="FF000000"/>
      <name val="Arial"/>
      <family val="2"/>
    </font>
    <font>
      <b/>
      <sz val="10"/>
      <color rgb="FFFFFFFF"/>
      <name val="Arial"/>
      <family val="2"/>
    </font>
    <font>
      <b/>
      <sz val="11"/>
      <color rgb="FFFFFFFF"/>
      <name val="Arial"/>
      <family val="2"/>
    </font>
    <font>
      <b/>
      <sz val="11"/>
      <color theme="1"/>
      <name val="Arial"/>
      <family val="2"/>
    </font>
    <font>
      <sz val="11"/>
      <color theme="1"/>
      <name val="Arial"/>
      <family val="2"/>
    </font>
    <font>
      <b/>
      <sz val="13"/>
      <color rgb="FF1155CC"/>
      <name val="Arial"/>
      <family val="2"/>
    </font>
    <font>
      <sz val="11"/>
      <color rgb="FF000000"/>
      <name val="Helvetica Neue"/>
      <family val="2"/>
    </font>
    <font>
      <b/>
      <sz val="14"/>
      <color rgb="FF000000"/>
      <name val="Helvetica Neue"/>
      <family val="2"/>
    </font>
    <font>
      <b/>
      <sz val="11"/>
      <color rgb="FF000000"/>
      <name val="Helvetica Neue"/>
      <family val="2"/>
    </font>
    <font>
      <b/>
      <sz val="14"/>
      <color theme="1"/>
      <name val="Arial"/>
      <family val="2"/>
    </font>
    <font>
      <sz val="12"/>
      <color theme="1"/>
      <name val="Arial"/>
      <family val="2"/>
    </font>
    <font>
      <i/>
      <sz val="11"/>
      <color rgb="FF595959"/>
      <name val="Arial"/>
      <family val="2"/>
    </font>
    <font>
      <b/>
      <sz val="12"/>
      <color rgb="FFFFFFFF"/>
      <name val="Arial"/>
      <family val="2"/>
    </font>
    <font>
      <b/>
      <sz val="12"/>
      <color theme="1"/>
      <name val="Arial"/>
      <family val="2"/>
    </font>
    <font>
      <u/>
      <sz val="12"/>
      <color rgb="FF1155CC"/>
      <name val="Arial"/>
      <family val="2"/>
    </font>
    <font>
      <u/>
      <sz val="10"/>
      <color theme="10"/>
      <name val="Arial"/>
      <family val="2"/>
    </font>
    <font>
      <sz val="12"/>
      <color theme="1"/>
      <name val="Arial"/>
      <family val="2"/>
    </font>
    <font>
      <sz val="10"/>
      <color rgb="FF000000"/>
      <name val="Arial"/>
      <family val="2"/>
    </font>
    <font>
      <sz val="8"/>
      <name val="Arial"/>
      <family val="2"/>
    </font>
    <font>
      <b/>
      <sz val="10"/>
      <color rgb="FF000000"/>
      <name val="Arial"/>
      <family val="2"/>
    </font>
    <font>
      <sz val="11"/>
      <color rgb="FF000000"/>
      <name val="Helvetica Neue"/>
      <family val="2"/>
    </font>
    <font>
      <sz val="10"/>
      <color rgb="FF000000"/>
      <name val="Arial"/>
      <family val="2"/>
    </font>
    <font>
      <sz val="12"/>
      <color rgb="FF006100"/>
      <name val="Arial"/>
      <family val="2"/>
      <scheme val="minor"/>
    </font>
    <font>
      <sz val="12"/>
      <color rgb="FF9C5700"/>
      <name val="Arial"/>
      <family val="2"/>
      <scheme val="minor"/>
    </font>
    <font>
      <i/>
      <sz val="12"/>
      <color rgb="FF7F7F7F"/>
      <name val="Arial"/>
      <family val="2"/>
      <scheme val="minor"/>
    </font>
    <font>
      <b/>
      <sz val="15"/>
      <color rgb="FF000000"/>
      <name val="Arial"/>
      <family val="2"/>
    </font>
    <font>
      <sz val="10"/>
      <color rgb="FF9C5700"/>
      <name val="Arial"/>
      <family val="2"/>
      <scheme val="minor"/>
    </font>
    <font>
      <sz val="10"/>
      <color rgb="FF000000"/>
      <name val="Arial"/>
      <charset val="1"/>
    </font>
  </fonts>
  <fills count="9">
    <fill>
      <patternFill patternType="none"/>
    </fill>
    <fill>
      <patternFill patternType="gray125"/>
    </fill>
    <fill>
      <patternFill patternType="solid">
        <fgColor rgb="FF2E75B6"/>
        <bgColor rgb="FF1155CC"/>
      </patternFill>
    </fill>
    <fill>
      <patternFill patternType="solid">
        <fgColor rgb="FFEDF3FA"/>
        <bgColor rgb="FFFFFFFF"/>
      </patternFill>
    </fill>
    <fill>
      <patternFill patternType="solid">
        <fgColor rgb="FFD9E6F2"/>
        <bgColor rgb="FFEDF3FA"/>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39997558519241921"/>
        <bgColor indexed="65"/>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s>
  <cellStyleXfs count="9">
    <xf numFmtId="0" fontId="0" fillId="0" borderId="0"/>
    <xf numFmtId="0" fontId="20" fillId="0" borderId="0" applyNumberFormat="0" applyFill="0" applyBorder="0" applyAlignment="0" applyProtection="0"/>
    <xf numFmtId="164" fontId="26" fillId="0" borderId="0" applyFont="0" applyFill="0" applyBorder="0" applyAlignment="0" applyProtection="0"/>
    <xf numFmtId="9" fontId="26" fillId="0" borderId="0" applyFont="0" applyFill="0" applyBorder="0" applyAlignment="0" applyProtection="0"/>
    <xf numFmtId="0" fontId="27" fillId="5" borderId="0" applyNumberFormat="0" applyBorder="0" applyAlignment="0" applyProtection="0"/>
    <xf numFmtId="0" fontId="28" fillId="7" borderId="0" applyNumberFormat="0" applyBorder="0" applyAlignment="0" applyProtection="0"/>
    <xf numFmtId="0" fontId="29" fillId="0" borderId="0" applyNumberFormat="0" applyFill="0" applyBorder="0" applyAlignment="0" applyProtection="0"/>
    <xf numFmtId="43" fontId="32" fillId="0" borderId="0" applyFont="0" applyFill="0" applyBorder="0" applyAlignment="0" applyProtection="0"/>
    <xf numFmtId="0" fontId="1" fillId="8" borderId="0" applyNumberFormat="0" applyBorder="0" applyAlignment="0" applyProtection="0"/>
  </cellStyleXfs>
  <cellXfs count="72">
    <xf numFmtId="0" fontId="0" fillId="0" borderId="0" xfId="0"/>
    <xf numFmtId="0" fontId="12" fillId="0" borderId="0" xfId="0" applyFont="1" applyAlignment="1">
      <alignment vertical="top"/>
    </xf>
    <xf numFmtId="0" fontId="6" fillId="2" borderId="1" xfId="0" applyFont="1" applyFill="1" applyBorder="1" applyAlignment="1">
      <alignment horizontal="left" vertical="top" wrapText="1"/>
    </xf>
    <xf numFmtId="0" fontId="5" fillId="0" borderId="0" xfId="0" applyFont="1" applyAlignment="1">
      <alignment horizontal="left" vertical="top" wrapText="1"/>
    </xf>
    <xf numFmtId="0" fontId="5" fillId="3" borderId="1" xfId="0" applyFont="1" applyFill="1" applyBorder="1" applyAlignment="1">
      <alignment horizontal="left" vertical="top" wrapText="1"/>
    </xf>
    <xf numFmtId="0" fontId="7" fillId="2" borderId="1" xfId="0" applyFont="1" applyFill="1" applyBorder="1" applyAlignment="1">
      <alignment vertical="top" wrapText="1"/>
    </xf>
    <xf numFmtId="0" fontId="8" fillId="4" borderId="1" xfId="0" applyFont="1" applyFill="1" applyBorder="1" applyAlignment="1">
      <alignment vertical="top" wrapText="1"/>
    </xf>
    <xf numFmtId="0" fontId="9" fillId="0" borderId="1" xfId="0" applyFont="1" applyBorder="1" applyAlignment="1">
      <alignment vertical="top" wrapText="1"/>
    </xf>
    <xf numFmtId="0" fontId="10" fillId="0" borderId="0" xfId="0" applyFont="1"/>
    <xf numFmtId="0" fontId="11" fillId="0" borderId="0" xfId="0" applyFont="1" applyAlignment="1">
      <alignment vertical="top"/>
    </xf>
    <xf numFmtId="0" fontId="11" fillId="0" borderId="0" xfId="0" applyFont="1" applyAlignment="1">
      <alignment horizontal="center" vertical="top"/>
    </xf>
    <xf numFmtId="0" fontId="13" fillId="0" borderId="0" xfId="0" applyFont="1" applyAlignment="1">
      <alignment vertical="top"/>
    </xf>
    <xf numFmtId="0" fontId="13" fillId="0" borderId="0" xfId="0" applyFont="1" applyAlignment="1">
      <alignment horizontal="center" vertical="top"/>
    </xf>
    <xf numFmtId="4" fontId="11" fillId="0" borderId="0" xfId="0" applyNumberFormat="1" applyFont="1" applyAlignment="1">
      <alignment horizontal="center" vertical="top"/>
    </xf>
    <xf numFmtId="165" fontId="11" fillId="0" borderId="0" xfId="0" applyNumberFormat="1" applyFont="1" applyAlignment="1">
      <alignment horizontal="center" vertical="top"/>
    </xf>
    <xf numFmtId="2" fontId="11" fillId="0" borderId="0" xfId="0" applyNumberFormat="1" applyFont="1" applyAlignment="1">
      <alignment horizontal="center" vertical="top"/>
    </xf>
    <xf numFmtId="0" fontId="14" fillId="0" borderId="0" xfId="0" applyFont="1" applyAlignment="1">
      <alignment horizontal="center"/>
    </xf>
    <xf numFmtId="0" fontId="15" fillId="0" borderId="0" xfId="0" applyFont="1"/>
    <xf numFmtId="166" fontId="15" fillId="0" borderId="2" xfId="0" applyNumberFormat="1" applyFont="1" applyBorder="1" applyAlignment="1">
      <alignment horizontal="right"/>
    </xf>
    <xf numFmtId="0" fontId="9" fillId="0" borderId="0" xfId="0" applyFont="1"/>
    <xf numFmtId="0" fontId="4" fillId="0" borderId="0" xfId="0" applyFont="1"/>
    <xf numFmtId="0" fontId="17" fillId="2" borderId="2" xfId="0" applyFont="1" applyFill="1" applyBorder="1"/>
    <xf numFmtId="0" fontId="18" fillId="3" borderId="2" xfId="0" applyFont="1" applyFill="1" applyBorder="1" applyAlignment="1">
      <alignment vertical="top"/>
    </xf>
    <xf numFmtId="0" fontId="15" fillId="0" borderId="2" xfId="0" applyFont="1" applyBorder="1" applyAlignment="1">
      <alignment vertical="top" wrapText="1"/>
    </xf>
    <xf numFmtId="0" fontId="19" fillId="0" borderId="2" xfId="0" applyFont="1" applyBorder="1" applyAlignment="1">
      <alignment vertical="top" wrapText="1"/>
    </xf>
    <xf numFmtId="0" fontId="21" fillId="0" borderId="2" xfId="0" applyFont="1" applyBorder="1" applyAlignment="1">
      <alignment vertical="top" wrapText="1"/>
    </xf>
    <xf numFmtId="0" fontId="20" fillId="0" borderId="2" xfId="1" applyBorder="1" applyAlignment="1">
      <alignment vertical="top" wrapText="1"/>
    </xf>
    <xf numFmtId="0" fontId="21" fillId="0" borderId="0" xfId="0" applyFont="1"/>
    <xf numFmtId="0" fontId="0" fillId="0" borderId="0" xfId="0" pivotButton="1"/>
    <xf numFmtId="0" fontId="0" fillId="0" borderId="0" xfId="0" applyAlignment="1">
      <alignment horizontal="left"/>
    </xf>
    <xf numFmtId="166" fontId="0" fillId="0" borderId="0" xfId="0" applyNumberFormat="1"/>
    <xf numFmtId="0" fontId="22" fillId="0" borderId="0" xfId="0" applyFont="1"/>
    <xf numFmtId="167" fontId="15" fillId="0" borderId="0" xfId="0" applyNumberFormat="1" applyFont="1" applyAlignment="1">
      <alignment horizontal="left"/>
    </xf>
    <xf numFmtId="0" fontId="24" fillId="0" borderId="0" xfId="0" applyFont="1"/>
    <xf numFmtId="165" fontId="25" fillId="0" borderId="0" xfId="0" applyNumberFormat="1" applyFont="1" applyAlignment="1">
      <alignment horizontal="center" vertical="top"/>
    </xf>
    <xf numFmtId="0" fontId="5" fillId="0" borderId="0" xfId="0" applyFont="1"/>
    <xf numFmtId="168" fontId="0" fillId="0" borderId="0" xfId="3" applyNumberFormat="1" applyFont="1"/>
    <xf numFmtId="169" fontId="0" fillId="0" borderId="0" xfId="3" applyNumberFormat="1" applyFont="1"/>
    <xf numFmtId="0" fontId="30" fillId="0" borderId="0" xfId="0" applyFont="1"/>
    <xf numFmtId="0" fontId="27" fillId="5" borderId="0" xfId="4"/>
    <xf numFmtId="0" fontId="29" fillId="6" borderId="0" xfId="6" applyFill="1"/>
    <xf numFmtId="2" fontId="0" fillId="0" borderId="0" xfId="0" applyNumberFormat="1"/>
    <xf numFmtId="2" fontId="0" fillId="0" borderId="0" xfId="3" applyNumberFormat="1" applyFont="1"/>
    <xf numFmtId="2" fontId="0" fillId="0" borderId="0" xfId="2" applyNumberFormat="1" applyFont="1"/>
    <xf numFmtId="0" fontId="31" fillId="7" borderId="0" xfId="5" applyFont="1"/>
    <xf numFmtId="2" fontId="22" fillId="0" borderId="0" xfId="0" applyNumberFormat="1" applyFont="1"/>
    <xf numFmtId="2" fontId="5" fillId="0" borderId="0" xfId="0" applyNumberFormat="1" applyFont="1"/>
    <xf numFmtId="169" fontId="0" fillId="0" borderId="0" xfId="0" applyNumberFormat="1" applyAlignment="1">
      <alignment horizontal="left" indent="6"/>
    </xf>
    <xf numFmtId="169" fontId="0" fillId="0" borderId="0" xfId="0" applyNumberFormat="1"/>
    <xf numFmtId="170" fontId="0" fillId="0" borderId="0" xfId="0" applyNumberFormat="1"/>
    <xf numFmtId="43" fontId="5" fillId="0" borderId="0" xfId="7" applyFont="1"/>
    <xf numFmtId="0" fontId="1" fillId="8" borderId="0" xfId="8"/>
    <xf numFmtId="0" fontId="1" fillId="8" borderId="0" xfId="8" applyAlignment="1"/>
    <xf numFmtId="171" fontId="0" fillId="0" borderId="0" xfId="3" applyNumberFormat="1" applyFont="1"/>
    <xf numFmtId="10" fontId="0" fillId="0" borderId="0" xfId="3" applyNumberFormat="1" applyFont="1"/>
    <xf numFmtId="172" fontId="0" fillId="0" borderId="0" xfId="3" applyNumberFormat="1" applyFont="1"/>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6"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xf numFmtId="0" fontId="12" fillId="0" borderId="0" xfId="0" applyFont="1" applyAlignment="1">
      <alignment vertical="top"/>
    </xf>
    <xf numFmtId="0" fontId="16" fillId="0" borderId="0" xfId="0" applyFont="1"/>
    <xf numFmtId="0" fontId="15" fillId="0" borderId="0" xfId="0" applyFont="1" applyAlignment="1">
      <alignment horizontal="center" vertical="center" wrapText="1"/>
    </xf>
    <xf numFmtId="0" fontId="0" fillId="0" borderId="0" xfId="0" applyNumberFormat="1"/>
    <xf numFmtId="0" fontId="0" fillId="0" borderId="0" xfId="0" applyAlignment="1">
      <alignment horizontal="center"/>
    </xf>
    <xf numFmtId="10" fontId="0" fillId="0" borderId="0" xfId="0" applyNumberFormat="1"/>
    <xf numFmtId="0" fontId="22" fillId="0" borderId="0" xfId="0" applyFont="1" applyAlignment="1">
      <alignment horizontal="center"/>
    </xf>
    <xf numFmtId="0" fontId="0" fillId="0" borderId="0" xfId="0" applyAlignment="1">
      <alignment horizontal="center" wrapText="1"/>
    </xf>
    <xf numFmtId="0" fontId="22" fillId="0" borderId="0" xfId="0" applyFont="1" applyAlignment="1">
      <alignment horizontal="center" wrapText="1"/>
    </xf>
  </cellXfs>
  <cellStyles count="9">
    <cellStyle name="60% - Accent1" xfId="8" builtinId="32"/>
    <cellStyle name="Comma" xfId="7" builtinId="3"/>
    <cellStyle name="Currency" xfId="2" builtinId="4"/>
    <cellStyle name="Explanatory Text" xfId="6" builtinId="53"/>
    <cellStyle name="Good" xfId="4" builtinId="26"/>
    <cellStyle name="Hyperlink" xfId="1" builtinId="8"/>
    <cellStyle name="Neutral" xfId="5" builtinId="28"/>
    <cellStyle name="Normal" xfId="0" builtinId="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F3FA"/>
      <rgbColor rgb="FFD9E6F2"/>
      <rgbColor rgb="FF660066"/>
      <rgbColor rgb="FFFF8080"/>
      <rgbColor rgb="FF1155CC"/>
      <rgbColor rgb="FFBBBBB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Errors and Omissions Profit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cmpd="sng">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cmpd="sng">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70581730578645E-2"/>
          <c:y val="0.10494092615207114"/>
          <c:w val="0.92318243749760609"/>
          <c:h val="0.82621761658031079"/>
        </c:manualLayout>
      </c:layout>
      <c:lineChart>
        <c:grouping val="standard"/>
        <c:varyColors val="0"/>
        <c:ser>
          <c:idx val="0"/>
          <c:order val="0"/>
          <c:tx>
            <c:strRef>
              <c:f>'Projection Charts'!$B$3</c:f>
              <c:strCache>
                <c:ptCount val="1"/>
                <c:pt idx="0">
                  <c:v>Total</c:v>
                </c:pt>
              </c:strCache>
            </c:strRef>
          </c:tx>
          <c:spPr>
            <a:ln w="28575" cap="rnd" cmpd="sng">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cmpd="sng">
                <a:solidFill>
                  <a:srgbClr val="FF0000"/>
                </a:solidFill>
                <a:prstDash val="sysDash"/>
                <a:round/>
              </a:ln>
              <a:effectLst/>
            </c:spPr>
            <c:extLst>
              <c:ext xmlns:c16="http://schemas.microsoft.com/office/drawing/2014/chart" uri="{C3380CC4-5D6E-409C-BE32-E72D297353CC}">
                <c16:uniqueId val="{0000000E-B429-4145-9C85-4917723DB2C4}"/>
              </c:ext>
            </c:extLst>
          </c:dPt>
          <c:cat>
            <c:strRef>
              <c:f>'Projection Charts'!$A$4:$A$10</c:f>
              <c:strCache>
                <c:ptCount val="6"/>
                <c:pt idx="0">
                  <c:v>2021</c:v>
                </c:pt>
                <c:pt idx="1">
                  <c:v>2022</c:v>
                </c:pt>
                <c:pt idx="2">
                  <c:v>2023</c:v>
                </c:pt>
                <c:pt idx="3">
                  <c:v>2024</c:v>
                </c:pt>
                <c:pt idx="4">
                  <c:v>2025</c:v>
                </c:pt>
                <c:pt idx="5">
                  <c:v>2026</c:v>
                </c:pt>
              </c:strCache>
            </c:strRef>
          </c:cat>
          <c:val>
            <c:numRef>
              <c:f>'Projection Charts'!$B$4:$B$10</c:f>
              <c:numCache>
                <c:formatCode>General</c:formatCode>
                <c:ptCount val="6"/>
                <c:pt idx="0">
                  <c:v>13032.800000000003</c:v>
                </c:pt>
                <c:pt idx="1">
                  <c:v>7363.0999999999949</c:v>
                </c:pt>
                <c:pt idx="2">
                  <c:v>12244.199999999997</c:v>
                </c:pt>
                <c:pt idx="3">
                  <c:v>9871.1000000000022</c:v>
                </c:pt>
                <c:pt idx="4">
                  <c:v>19216.000000000007</c:v>
                </c:pt>
                <c:pt idx="5">
                  <c:v>16807.760000000242</c:v>
                </c:pt>
              </c:numCache>
            </c:numRef>
          </c:val>
          <c:smooth val="0"/>
          <c:extLst>
            <c:ext xmlns:c16="http://schemas.microsoft.com/office/drawing/2014/chart" uri="{C3380CC4-5D6E-409C-BE32-E72D297353CC}">
              <c16:uniqueId val="{0000000C-B429-4145-9C85-4917723DB2C4}"/>
            </c:ext>
          </c:extLst>
        </c:ser>
        <c:dLbls>
          <c:showLegendKey val="0"/>
          <c:showVal val="0"/>
          <c:showCatName val="0"/>
          <c:showSerName val="0"/>
          <c:showPercent val="0"/>
          <c:showBubbleSize val="0"/>
        </c:dLbls>
        <c:marker val="1"/>
        <c:smooth val="0"/>
        <c:axId val="1833382864"/>
        <c:axId val="1833437312"/>
      </c:lineChart>
      <c:catAx>
        <c:axId val="18333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437312"/>
        <c:crosses val="autoZero"/>
        <c:auto val="1"/>
        <c:lblAlgn val="ctr"/>
        <c:lblOffset val="100"/>
        <c:noMultiLvlLbl val="0"/>
      </c:catAx>
      <c:valAx>
        <c:axId val="183343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8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 Liability</a:t>
            </a:r>
            <a:r>
              <a:rPr lang="en-US" baseline="0"/>
              <a:t> Profit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prstDash val="sysDash"/>
            <a:round/>
          </a:ln>
          <a:effectLst/>
        </c:spPr>
        <c:marker>
          <c:symbol val="circle"/>
          <c:size val="6"/>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'Projection Charts'!$B$18</c:f>
              <c:strCache>
                <c:ptCount val="1"/>
                <c:pt idx="0">
                  <c:v>Total</c:v>
                </c:pt>
              </c:strCache>
            </c:strRef>
          </c:tx>
          <c:spPr>
            <a:ln w="28575" cap="rnd">
              <a:solidFill>
                <a:schemeClr val="accent2"/>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chemeClr val="accent2"/>
                </a:solidFill>
                <a:prstDash val="sysDash"/>
                <a:round/>
              </a:ln>
              <a:effectLst/>
            </c:spPr>
            <c:extLst>
              <c:ext xmlns:c16="http://schemas.microsoft.com/office/drawing/2014/chart" uri="{C3380CC4-5D6E-409C-BE32-E72D297353CC}">
                <c16:uniqueId val="{00000002-9D18-AC40-8BBB-359379242B0A}"/>
              </c:ext>
            </c:extLst>
          </c:dPt>
          <c:cat>
            <c:strRef>
              <c:f>'Projection Charts'!$A$19:$A$25</c:f>
              <c:strCache>
                <c:ptCount val="6"/>
                <c:pt idx="0">
                  <c:v>2021</c:v>
                </c:pt>
                <c:pt idx="1">
                  <c:v>2022</c:v>
                </c:pt>
                <c:pt idx="2">
                  <c:v>2023</c:v>
                </c:pt>
                <c:pt idx="3">
                  <c:v>2024</c:v>
                </c:pt>
                <c:pt idx="4">
                  <c:v>2025</c:v>
                </c:pt>
                <c:pt idx="5">
                  <c:v>2026</c:v>
                </c:pt>
              </c:strCache>
            </c:strRef>
          </c:cat>
          <c:val>
            <c:numRef>
              <c:f>'Projection Charts'!$B$19:$B$25</c:f>
              <c:numCache>
                <c:formatCode>General</c:formatCode>
                <c:ptCount val="6"/>
                <c:pt idx="0">
                  <c:v>16846.400000000001</c:v>
                </c:pt>
                <c:pt idx="1">
                  <c:v>6072.1000000000022</c:v>
                </c:pt>
                <c:pt idx="2">
                  <c:v>10424.499999999985</c:v>
                </c:pt>
                <c:pt idx="3">
                  <c:v>4407.0000000000073</c:v>
                </c:pt>
                <c:pt idx="4">
                  <c:v>3121.4000000000015</c:v>
                </c:pt>
                <c:pt idx="5">
                  <c:v>-560.24999999627471</c:v>
                </c:pt>
              </c:numCache>
            </c:numRef>
          </c:val>
          <c:smooth val="0"/>
          <c:extLst>
            <c:ext xmlns:c16="http://schemas.microsoft.com/office/drawing/2014/chart" uri="{C3380CC4-5D6E-409C-BE32-E72D297353CC}">
              <c16:uniqueId val="{00000000-9D18-AC40-8BBB-359379242B0A}"/>
            </c:ext>
          </c:extLst>
        </c:ser>
        <c:dLbls>
          <c:showLegendKey val="0"/>
          <c:showVal val="0"/>
          <c:showCatName val="0"/>
          <c:showSerName val="0"/>
          <c:showPercent val="0"/>
          <c:showBubbleSize val="0"/>
        </c:dLbls>
        <c:marker val="1"/>
        <c:smooth val="0"/>
        <c:axId val="1965052816"/>
        <c:axId val="1965054528"/>
      </c:lineChart>
      <c:catAx>
        <c:axId val="19650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54528"/>
        <c:crosses val="autoZero"/>
        <c:auto val="1"/>
        <c:lblAlgn val="ctr"/>
        <c:lblOffset val="100"/>
        <c:noMultiLvlLbl val="0"/>
      </c:catAx>
      <c:valAx>
        <c:axId val="1965054528"/>
        <c:scaling>
          <c:orientation val="minMax"/>
        </c:scaling>
        <c:delete val="0"/>
        <c:axPos val="l"/>
        <c:majorGridlines>
          <c:spPr>
            <a:ln w="31750"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0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alpha val="959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Technology Product</a:t>
            </a:r>
            <a:r>
              <a:rPr lang="en-US" baseline="0"/>
              <a:t> Liability 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Charts'!$B$30</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2-3B5F-E74B-A199-E834F32D3C52}"/>
              </c:ext>
            </c:extLst>
          </c:dPt>
          <c:cat>
            <c:strRef>
              <c:f>'Projection Charts'!$A$31:$A$37</c:f>
              <c:strCache>
                <c:ptCount val="6"/>
                <c:pt idx="0">
                  <c:v>2021</c:v>
                </c:pt>
                <c:pt idx="1">
                  <c:v>2022</c:v>
                </c:pt>
                <c:pt idx="2">
                  <c:v>2023</c:v>
                </c:pt>
                <c:pt idx="3">
                  <c:v>2024</c:v>
                </c:pt>
                <c:pt idx="4">
                  <c:v>2025</c:v>
                </c:pt>
                <c:pt idx="5">
                  <c:v>2026</c:v>
                </c:pt>
              </c:strCache>
            </c:strRef>
          </c:cat>
          <c:val>
            <c:numRef>
              <c:f>'Projection Charts'!$B$31:$B$37</c:f>
              <c:numCache>
                <c:formatCode>General</c:formatCode>
                <c:ptCount val="6"/>
                <c:pt idx="0">
                  <c:v>2630.4000000000051</c:v>
                </c:pt>
                <c:pt idx="1">
                  <c:v>2705.3999999999978</c:v>
                </c:pt>
                <c:pt idx="2">
                  <c:v>7615.8000000000065</c:v>
                </c:pt>
                <c:pt idx="3">
                  <c:v>23221.899999999994</c:v>
                </c:pt>
                <c:pt idx="4">
                  <c:v>20389.399999999994</c:v>
                </c:pt>
                <c:pt idx="5">
                  <c:v>28122.930000000633</c:v>
                </c:pt>
              </c:numCache>
            </c:numRef>
          </c:val>
          <c:smooth val="0"/>
          <c:extLst>
            <c:ext xmlns:c16="http://schemas.microsoft.com/office/drawing/2014/chart" uri="{C3380CC4-5D6E-409C-BE32-E72D297353CC}">
              <c16:uniqueId val="{00000000-3B5F-E74B-A199-E834F32D3C52}"/>
            </c:ext>
          </c:extLst>
        </c:ser>
        <c:dLbls>
          <c:showLegendKey val="0"/>
          <c:showVal val="0"/>
          <c:showCatName val="0"/>
          <c:showSerName val="0"/>
          <c:showPercent val="0"/>
          <c:showBubbleSize val="0"/>
        </c:dLbls>
        <c:marker val="1"/>
        <c:smooth val="0"/>
        <c:axId val="1989275984"/>
        <c:axId val="1990087648"/>
      </c:lineChart>
      <c:catAx>
        <c:axId val="198927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87648"/>
        <c:crosses val="autoZero"/>
        <c:auto val="1"/>
        <c:lblAlgn val="ctr"/>
        <c:lblOffset val="100"/>
        <c:noMultiLvlLbl val="0"/>
      </c:catAx>
      <c:valAx>
        <c:axId val="199008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prstDash val="solid"/>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cmpd="sng">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Charts'!$B$41</c:f>
              <c:strCache>
                <c:ptCount val="1"/>
                <c:pt idx="0">
                  <c:v>Total</c:v>
                </c:pt>
              </c:strCache>
            </c:strRef>
          </c:tx>
          <c:spPr>
            <a:ln w="28575" cap="rnd">
              <a:solidFill>
                <a:srgbClr val="FF0000"/>
              </a:solidFill>
              <a:prstDash val="solid"/>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cmpd="sng">
                <a:solidFill>
                  <a:srgbClr val="FF0000"/>
                </a:solidFill>
                <a:prstDash val="sysDash"/>
                <a:round/>
              </a:ln>
              <a:effectLst/>
            </c:spPr>
            <c:extLst>
              <c:ext xmlns:c16="http://schemas.microsoft.com/office/drawing/2014/chart" uri="{C3380CC4-5D6E-409C-BE32-E72D297353CC}">
                <c16:uniqueId val="{00000000-A6FB-41B6-BBE4-6BDEC88D74A0}"/>
              </c:ext>
            </c:extLst>
          </c:dPt>
          <c:cat>
            <c:strRef>
              <c:f>'Projection Charts'!$A$42:$A$48</c:f>
              <c:strCache>
                <c:ptCount val="6"/>
                <c:pt idx="0">
                  <c:v>2021</c:v>
                </c:pt>
                <c:pt idx="1">
                  <c:v>2022</c:v>
                </c:pt>
                <c:pt idx="2">
                  <c:v>2023</c:v>
                </c:pt>
                <c:pt idx="3">
                  <c:v>2024</c:v>
                </c:pt>
                <c:pt idx="4">
                  <c:v>2025</c:v>
                </c:pt>
                <c:pt idx="5">
                  <c:v>2026</c:v>
                </c:pt>
              </c:strCache>
            </c:strRef>
          </c:cat>
          <c:val>
            <c:numRef>
              <c:f>'Projection Charts'!$B$42:$B$48</c:f>
              <c:numCache>
                <c:formatCode>General</c:formatCode>
                <c:ptCount val="6"/>
                <c:pt idx="0">
                  <c:v>49961.400000000009</c:v>
                </c:pt>
                <c:pt idx="1">
                  <c:v>47888.2</c:v>
                </c:pt>
                <c:pt idx="2">
                  <c:v>47652.299999999996</c:v>
                </c:pt>
                <c:pt idx="3">
                  <c:v>50195.9</c:v>
                </c:pt>
                <c:pt idx="4">
                  <c:v>42131.299999999981</c:v>
                </c:pt>
                <c:pt idx="5">
                  <c:v>43560.069999999832</c:v>
                </c:pt>
              </c:numCache>
            </c:numRef>
          </c:val>
          <c:smooth val="0"/>
          <c:extLst>
            <c:ext xmlns:c16="http://schemas.microsoft.com/office/drawing/2014/chart" uri="{C3380CC4-5D6E-409C-BE32-E72D297353CC}">
              <c16:uniqueId val="{00000000-4511-754C-9134-1040D6EDB91F}"/>
            </c:ext>
          </c:extLst>
        </c:ser>
        <c:dLbls>
          <c:showLegendKey val="0"/>
          <c:showVal val="0"/>
          <c:showCatName val="0"/>
          <c:showSerName val="0"/>
          <c:showPercent val="0"/>
          <c:showBubbleSize val="0"/>
        </c:dLbls>
        <c:marker val="1"/>
        <c:smooth val="0"/>
        <c:axId val="2056699616"/>
        <c:axId val="1996714592"/>
      </c:lineChart>
      <c:catAx>
        <c:axId val="205669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14592"/>
        <c:crosses val="autoZero"/>
        <c:auto val="1"/>
        <c:lblAlgn val="ctr"/>
        <c:lblOffset val="100"/>
        <c:noMultiLvlLbl val="0"/>
      </c:catAx>
      <c:valAx>
        <c:axId val="199671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9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Errors and Omissions Profit Margin</a:t>
            </a:r>
          </a:p>
        </c:rich>
      </c:tx>
      <c:layout>
        <c:manualLayout>
          <c:xMode val="edge"/>
          <c:yMode val="edge"/>
          <c:x val="0.24616815818729096"/>
          <c:y val="6.1699013493118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manualLayout>
          <c:layoutTarget val="inner"/>
          <c:xMode val="edge"/>
          <c:yMode val="edge"/>
          <c:x val="0.12308210657267261"/>
          <c:y val="0.15680385563416058"/>
          <c:w val="0.80532085838689615"/>
          <c:h val="0.75848161313979634"/>
        </c:manualLayout>
      </c:layout>
      <c:lineChart>
        <c:grouping val="standard"/>
        <c:varyColors val="0"/>
        <c:ser>
          <c:idx val="0"/>
          <c:order val="0"/>
          <c:tx>
            <c:strRef>
              <c:f>'Projection Charts'!$L$3</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0-9A7E-4106-B552-AB365FB7517F}"/>
              </c:ext>
            </c:extLst>
          </c:dPt>
          <c:cat>
            <c:strRef>
              <c:f>'Projection Charts'!$K$4:$K$10</c:f>
              <c:strCache>
                <c:ptCount val="6"/>
                <c:pt idx="0">
                  <c:v>2021</c:v>
                </c:pt>
                <c:pt idx="1">
                  <c:v>2022</c:v>
                </c:pt>
                <c:pt idx="2">
                  <c:v>2023</c:v>
                </c:pt>
                <c:pt idx="3">
                  <c:v>2024</c:v>
                </c:pt>
                <c:pt idx="4">
                  <c:v>2025</c:v>
                </c:pt>
                <c:pt idx="5">
                  <c:v>2026</c:v>
                </c:pt>
              </c:strCache>
            </c:strRef>
          </c:cat>
          <c:val>
            <c:numRef>
              <c:f>'Projection Charts'!$L$4:$L$10</c:f>
              <c:numCache>
                <c:formatCode>General</c:formatCode>
                <c:ptCount val="6"/>
                <c:pt idx="0">
                  <c:v>3.4492916053536556E-2</c:v>
                </c:pt>
                <c:pt idx="1">
                  <c:v>1.8580079475202353E-2</c:v>
                </c:pt>
                <c:pt idx="2">
                  <c:v>2.5683148207509561E-2</c:v>
                </c:pt>
                <c:pt idx="3">
                  <c:v>2.0299676009332794E-2</c:v>
                </c:pt>
                <c:pt idx="4">
                  <c:v>3.847509425301051E-2</c:v>
                </c:pt>
                <c:pt idx="5">
                  <c:v>3.0421070647088252E-2</c:v>
                </c:pt>
              </c:numCache>
            </c:numRef>
          </c:val>
          <c:smooth val="0"/>
          <c:extLst>
            <c:ext xmlns:c16="http://schemas.microsoft.com/office/drawing/2014/chart" uri="{C3380CC4-5D6E-409C-BE32-E72D297353CC}">
              <c16:uniqueId val="{00000000-EF4F-6246-BB42-B7A52CA47A60}"/>
            </c:ext>
          </c:extLst>
        </c:ser>
        <c:dLbls>
          <c:showLegendKey val="0"/>
          <c:showVal val="0"/>
          <c:showCatName val="0"/>
          <c:showSerName val="0"/>
          <c:showPercent val="0"/>
          <c:showBubbleSize val="0"/>
        </c:dLbls>
        <c:marker val="1"/>
        <c:smooth val="0"/>
        <c:axId val="1829216320"/>
        <c:axId val="1828811648"/>
      </c:lineChart>
      <c:catAx>
        <c:axId val="182921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811648"/>
        <c:crosses val="autoZero"/>
        <c:auto val="1"/>
        <c:lblAlgn val="ctr"/>
        <c:lblOffset val="100"/>
        <c:noMultiLvlLbl val="0"/>
      </c:catAx>
      <c:valAx>
        <c:axId val="1828811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a:t>
            </a:r>
            <a:r>
              <a:rPr lang="en-US" baseline="0"/>
              <a:t> Liability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pivotFmt>
      <c:pivotFmt>
        <c:idx val="2"/>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Charts'!$L$26</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3-C1AB-4900-A602-3E790C50E9EA}"/>
              </c:ext>
            </c:extLst>
          </c:dPt>
          <c:cat>
            <c:strRef>
              <c:f>'Projection Charts'!$K$27:$K$33</c:f>
              <c:strCache>
                <c:ptCount val="6"/>
                <c:pt idx="0">
                  <c:v>2021</c:v>
                </c:pt>
                <c:pt idx="1">
                  <c:v>2022</c:v>
                </c:pt>
                <c:pt idx="2">
                  <c:v>2023</c:v>
                </c:pt>
                <c:pt idx="3">
                  <c:v>2024</c:v>
                </c:pt>
                <c:pt idx="4">
                  <c:v>2025</c:v>
                </c:pt>
                <c:pt idx="5">
                  <c:v>2026</c:v>
                </c:pt>
              </c:strCache>
            </c:strRef>
          </c:cat>
          <c:val>
            <c:numRef>
              <c:f>'Projection Charts'!$L$27:$L$33</c:f>
              <c:numCache>
                <c:formatCode>General</c:formatCode>
                <c:ptCount val="6"/>
                <c:pt idx="0">
                  <c:v>5.6110262067862356E-2</c:v>
                </c:pt>
                <c:pt idx="1">
                  <c:v>1.3796831840297542E-2</c:v>
                </c:pt>
                <c:pt idx="2">
                  <c:v>1.6780015282545555E-2</c:v>
                </c:pt>
                <c:pt idx="3">
                  <c:v>6.6765109234462466E-3</c:v>
                </c:pt>
                <c:pt idx="4">
                  <c:v>2.6062456834480331E-3</c:v>
                </c:pt>
                <c:pt idx="5">
                  <c:v>-4.2129570829669644E-4</c:v>
                </c:pt>
              </c:numCache>
            </c:numRef>
          </c:val>
          <c:smooth val="0"/>
          <c:extLst>
            <c:ext xmlns:c16="http://schemas.microsoft.com/office/drawing/2014/chart" uri="{C3380CC4-5D6E-409C-BE32-E72D297353CC}">
              <c16:uniqueId val="{00000001-C1AB-4900-A602-3E790C50E9EA}"/>
            </c:ext>
          </c:extLst>
        </c:ser>
        <c:dLbls>
          <c:showLegendKey val="0"/>
          <c:showVal val="0"/>
          <c:showCatName val="0"/>
          <c:showSerName val="0"/>
          <c:showPercent val="0"/>
          <c:showBubbleSize val="0"/>
        </c:dLbls>
        <c:marker val="1"/>
        <c:smooth val="0"/>
        <c:axId val="1829522400"/>
        <c:axId val="1829524112"/>
      </c:lineChart>
      <c:catAx>
        <c:axId val="18295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24112"/>
        <c:crosses val="autoZero"/>
        <c:auto val="1"/>
        <c:lblAlgn val="ctr"/>
        <c:lblOffset val="100"/>
        <c:noMultiLvlLbl val="0"/>
      </c:catAx>
      <c:valAx>
        <c:axId val="182952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2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Technology Product Liability Profit</a:t>
            </a:r>
            <a:r>
              <a:rPr lang="en-US" baseline="0"/>
              <a: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Charts'!$L$49</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0-734D-440C-8463-288DED396ED5}"/>
              </c:ext>
            </c:extLst>
          </c:dPt>
          <c:cat>
            <c:strRef>
              <c:f>'Projection Charts'!$K$50:$K$56</c:f>
              <c:strCache>
                <c:ptCount val="6"/>
                <c:pt idx="0">
                  <c:v>2021</c:v>
                </c:pt>
                <c:pt idx="1">
                  <c:v>2022</c:v>
                </c:pt>
                <c:pt idx="2">
                  <c:v>2023</c:v>
                </c:pt>
                <c:pt idx="3">
                  <c:v>2024</c:v>
                </c:pt>
                <c:pt idx="4">
                  <c:v>2025</c:v>
                </c:pt>
                <c:pt idx="5">
                  <c:v>2026</c:v>
                </c:pt>
              </c:strCache>
            </c:strRef>
          </c:cat>
          <c:val>
            <c:numRef>
              <c:f>'Projection Charts'!$L$50:$L$56</c:f>
              <c:numCache>
                <c:formatCode>General</c:formatCode>
                <c:ptCount val="6"/>
                <c:pt idx="0">
                  <c:v>1.1632635428101695E-2</c:v>
                </c:pt>
                <c:pt idx="1">
                  <c:v>1.6375351313498241E-2</c:v>
                </c:pt>
                <c:pt idx="2">
                  <c:v>3.5550370779141811E-2</c:v>
                </c:pt>
                <c:pt idx="3">
                  <c:v>7.9847599579041043E-2</c:v>
                </c:pt>
                <c:pt idx="4">
                  <c:v>6.1523019539187644E-2</c:v>
                </c:pt>
                <c:pt idx="5">
                  <c:v>8.1477314113784963E-2</c:v>
                </c:pt>
              </c:numCache>
            </c:numRef>
          </c:val>
          <c:smooth val="0"/>
          <c:extLst>
            <c:ext xmlns:c16="http://schemas.microsoft.com/office/drawing/2014/chart" uri="{C3380CC4-5D6E-409C-BE32-E72D297353CC}">
              <c16:uniqueId val="{00000000-CE89-624D-A315-BB9F78C39420}"/>
            </c:ext>
          </c:extLst>
        </c:ser>
        <c:dLbls>
          <c:showLegendKey val="0"/>
          <c:showVal val="0"/>
          <c:showCatName val="0"/>
          <c:showSerName val="0"/>
          <c:showPercent val="0"/>
          <c:showBubbleSize val="0"/>
        </c:dLbls>
        <c:marker val="1"/>
        <c:smooth val="0"/>
        <c:axId val="1934266464"/>
        <c:axId val="1934268176"/>
      </c:lineChart>
      <c:catAx>
        <c:axId val="193426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268176"/>
        <c:crosses val="autoZero"/>
        <c:auto val="1"/>
        <c:lblAlgn val="ctr"/>
        <c:lblOffset val="100"/>
        <c:noMultiLvlLbl val="0"/>
      </c:catAx>
      <c:valAx>
        <c:axId val="1934268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26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'Projection Charts'!$L$69</c:f>
              <c:strCache>
                <c:ptCount val="1"/>
                <c:pt idx="0">
                  <c:v>Total</c:v>
                </c:pt>
              </c:strCache>
            </c:strRef>
          </c:tx>
          <c:spPr>
            <a:solidFill>
              <a:schemeClr val="accent1"/>
            </a:solidFill>
            <a:ln>
              <a:noFill/>
            </a:ln>
            <a:effectLst/>
          </c:spPr>
          <c:invertIfNegative val="0"/>
          <c:cat>
            <c:strRef>
              <c:f>'Projection Charts'!$K$70:$K$76</c:f>
              <c:strCache>
                <c:ptCount val="6"/>
                <c:pt idx="0">
                  <c:v>2021</c:v>
                </c:pt>
                <c:pt idx="1">
                  <c:v>2022</c:v>
                </c:pt>
                <c:pt idx="2">
                  <c:v>2023</c:v>
                </c:pt>
                <c:pt idx="3">
                  <c:v>2024</c:v>
                </c:pt>
                <c:pt idx="4">
                  <c:v>2025</c:v>
                </c:pt>
                <c:pt idx="5">
                  <c:v>2026</c:v>
                </c:pt>
              </c:strCache>
            </c:strRef>
          </c:cat>
          <c:val>
            <c:numRef>
              <c:f>'Projection Charts'!$L$70:$L$76</c:f>
              <c:numCache>
                <c:formatCode>General</c:formatCode>
                <c:ptCount val="6"/>
                <c:pt idx="0">
                  <c:v>5.1276370945209676E-2</c:v>
                </c:pt>
                <c:pt idx="1">
                  <c:v>4.8358368327144928E-2</c:v>
                </c:pt>
                <c:pt idx="2">
                  <c:v>4.9901145647954191E-2</c:v>
                </c:pt>
                <c:pt idx="3">
                  <c:v>5.2081872734960684E-2</c:v>
                </c:pt>
                <c:pt idx="4">
                  <c:v>4.7867321390538051E-2</c:v>
                </c:pt>
                <c:pt idx="5">
                  <c:v>4.8953918895217163E-2</c:v>
                </c:pt>
              </c:numCache>
            </c:numRef>
          </c:val>
          <c:extLst>
            <c:ext xmlns:c16="http://schemas.microsoft.com/office/drawing/2014/chart" uri="{C3380CC4-5D6E-409C-BE32-E72D297353CC}">
              <c16:uniqueId val="{00000000-D4B4-F843-9E53-880778D0C0D7}"/>
            </c:ext>
          </c:extLst>
        </c:ser>
        <c:dLbls>
          <c:showLegendKey val="0"/>
          <c:showVal val="0"/>
          <c:showCatName val="0"/>
          <c:showSerName val="0"/>
          <c:showPercent val="0"/>
          <c:showBubbleSize val="0"/>
        </c:dLbls>
        <c:gapWidth val="219"/>
        <c:overlap val="-27"/>
        <c:axId val="1829350144"/>
        <c:axId val="1829351856"/>
      </c:barChart>
      <c:catAx>
        <c:axId val="18293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51856"/>
        <c:crosses val="autoZero"/>
        <c:auto val="1"/>
        <c:lblAlgn val="ctr"/>
        <c:lblOffset val="100"/>
        <c:noMultiLvlLbl val="0"/>
      </c:catAx>
      <c:valAx>
        <c:axId val="1829351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Commercial</a:t>
            </a:r>
            <a:r>
              <a:rPr lang="en-US" baseline="0"/>
              <a:t> General Liability 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Charts'!$G$95</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prstDash val="sysDash"/>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2-15C7-48FB-8557-D64287AAD491}"/>
              </c:ext>
            </c:extLst>
          </c:dPt>
          <c:cat>
            <c:strRef>
              <c:f>'Projection Charts'!$F$96:$F$102</c:f>
              <c:strCache>
                <c:ptCount val="6"/>
                <c:pt idx="0">
                  <c:v>2021</c:v>
                </c:pt>
                <c:pt idx="1">
                  <c:v>2022</c:v>
                </c:pt>
                <c:pt idx="2">
                  <c:v>2023</c:v>
                </c:pt>
                <c:pt idx="3">
                  <c:v>2024</c:v>
                </c:pt>
                <c:pt idx="4">
                  <c:v>2025</c:v>
                </c:pt>
                <c:pt idx="5">
                  <c:v>2026</c:v>
                </c:pt>
              </c:strCache>
            </c:strRef>
          </c:cat>
          <c:val>
            <c:numRef>
              <c:f>'Projection Charts'!$G$96:$G$102</c:f>
              <c:numCache>
                <c:formatCode>General</c:formatCode>
                <c:ptCount val="6"/>
                <c:pt idx="0">
                  <c:v>49961.400000000009</c:v>
                </c:pt>
                <c:pt idx="1">
                  <c:v>47888.2</c:v>
                </c:pt>
                <c:pt idx="2">
                  <c:v>47652.299999999996</c:v>
                </c:pt>
                <c:pt idx="3">
                  <c:v>50195.9</c:v>
                </c:pt>
                <c:pt idx="4">
                  <c:v>42131.299999999981</c:v>
                </c:pt>
                <c:pt idx="5">
                  <c:v>43560.069999999832</c:v>
                </c:pt>
              </c:numCache>
            </c:numRef>
          </c:val>
          <c:smooth val="0"/>
          <c:extLst>
            <c:ext xmlns:c16="http://schemas.microsoft.com/office/drawing/2014/chart" uri="{C3380CC4-5D6E-409C-BE32-E72D297353CC}">
              <c16:uniqueId val="{00000000-15C7-48FB-8557-D64287AAD491}"/>
            </c:ext>
          </c:extLst>
        </c:ser>
        <c:dLbls>
          <c:showLegendKey val="0"/>
          <c:showVal val="0"/>
          <c:showCatName val="0"/>
          <c:showSerName val="0"/>
          <c:showPercent val="0"/>
          <c:showBubbleSize val="0"/>
        </c:dLbls>
        <c:marker val="1"/>
        <c:smooth val="0"/>
        <c:axId val="1736975056"/>
        <c:axId val="1359186224"/>
      </c:lineChart>
      <c:catAx>
        <c:axId val="173697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86224"/>
        <c:crosses val="autoZero"/>
        <c:auto val="1"/>
        <c:lblAlgn val="ctr"/>
        <c:lblOffset val="100"/>
        <c:noMultiLvlLbl val="0"/>
      </c:catAx>
      <c:valAx>
        <c:axId val="135918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7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Commercial General Liability Profit Margin</a:t>
            </a:r>
          </a:p>
        </c:rich>
      </c:tx>
      <c:layout>
        <c:manualLayout>
          <c:xMode val="edge"/>
          <c:yMode val="edge"/>
          <c:x val="0.18945967960901436"/>
          <c:y val="0.101659600242277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6"/>
          <c:spPr>
            <a:solidFill>
              <a:schemeClr val="accent1"/>
            </a:solidFill>
            <a:ln w="9525">
              <a:solidFill>
                <a:schemeClr val="accent1"/>
              </a:solidFill>
            </a:ln>
            <a:effectLst/>
          </c:spPr>
        </c:marker>
      </c:pivotFmt>
      <c:pivotFmt>
        <c:idx val="2"/>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Charts'!$J$94</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prstDash val="solid"/>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3-A044-476E-BD5A-AD76A10826E0}"/>
              </c:ext>
            </c:extLst>
          </c:dPt>
          <c:cat>
            <c:strRef>
              <c:f>'Projection Charts'!$I$95:$I$101</c:f>
              <c:strCache>
                <c:ptCount val="6"/>
                <c:pt idx="0">
                  <c:v>2021</c:v>
                </c:pt>
                <c:pt idx="1">
                  <c:v>2022</c:v>
                </c:pt>
                <c:pt idx="2">
                  <c:v>2023</c:v>
                </c:pt>
                <c:pt idx="3">
                  <c:v>2024</c:v>
                </c:pt>
                <c:pt idx="4">
                  <c:v>2025</c:v>
                </c:pt>
                <c:pt idx="5">
                  <c:v>2026</c:v>
                </c:pt>
              </c:strCache>
            </c:strRef>
          </c:cat>
          <c:val>
            <c:numRef>
              <c:f>'Projection Charts'!$J$95:$J$101</c:f>
              <c:numCache>
                <c:formatCode>0.00%</c:formatCode>
                <c:ptCount val="6"/>
                <c:pt idx="0">
                  <c:v>5.1276370945209676E-2</c:v>
                </c:pt>
                <c:pt idx="1">
                  <c:v>4.8358368327144928E-2</c:v>
                </c:pt>
                <c:pt idx="2">
                  <c:v>4.9901145647954191E-2</c:v>
                </c:pt>
                <c:pt idx="3">
                  <c:v>5.2081872734960684E-2</c:v>
                </c:pt>
                <c:pt idx="4">
                  <c:v>4.7867321390538051E-2</c:v>
                </c:pt>
                <c:pt idx="5">
                  <c:v>4.8953918895217163E-2</c:v>
                </c:pt>
              </c:numCache>
            </c:numRef>
          </c:val>
          <c:smooth val="0"/>
          <c:extLst>
            <c:ext xmlns:c16="http://schemas.microsoft.com/office/drawing/2014/chart" uri="{C3380CC4-5D6E-409C-BE32-E72D297353CC}">
              <c16:uniqueId val="{00000000-A044-476E-BD5A-AD76A10826E0}"/>
            </c:ext>
          </c:extLst>
        </c:ser>
        <c:dLbls>
          <c:showLegendKey val="0"/>
          <c:showVal val="0"/>
          <c:showCatName val="0"/>
          <c:showSerName val="0"/>
          <c:showPercent val="0"/>
          <c:showBubbleSize val="0"/>
        </c:dLbls>
        <c:marker val="1"/>
        <c:smooth val="0"/>
        <c:axId val="1417412448"/>
        <c:axId val="1359165104"/>
      </c:lineChart>
      <c:catAx>
        <c:axId val="14174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65104"/>
        <c:crosses val="autoZero"/>
        <c:auto val="1"/>
        <c:lblAlgn val="ctr"/>
        <c:lblOffset val="100"/>
        <c:noMultiLvlLbl val="0"/>
      </c:catAx>
      <c:valAx>
        <c:axId val="1359165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Commer</a:t>
            </a:r>
            <a:r>
              <a:rPr lang="en-US" baseline="0"/>
              <a:t>cial Auto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'Projection Charts'!$G$112</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2-6C3F-453B-B93C-44F1E6A73B89}"/>
              </c:ext>
            </c:extLst>
          </c:dPt>
          <c:cat>
            <c:strRef>
              <c:f>'Projection Charts'!$F$113:$F$119</c:f>
              <c:strCache>
                <c:ptCount val="6"/>
                <c:pt idx="0">
                  <c:v>2021</c:v>
                </c:pt>
                <c:pt idx="1">
                  <c:v>2022</c:v>
                </c:pt>
                <c:pt idx="2">
                  <c:v>2023</c:v>
                </c:pt>
                <c:pt idx="3">
                  <c:v>2024</c:v>
                </c:pt>
                <c:pt idx="4">
                  <c:v>2025</c:v>
                </c:pt>
                <c:pt idx="5">
                  <c:v>2026</c:v>
                </c:pt>
              </c:strCache>
            </c:strRef>
          </c:cat>
          <c:val>
            <c:numRef>
              <c:f>'Projection Charts'!$G$113:$G$119</c:f>
              <c:numCache>
                <c:formatCode>General</c:formatCode>
                <c:ptCount val="6"/>
                <c:pt idx="0">
                  <c:v>22410.900000000009</c:v>
                </c:pt>
                <c:pt idx="1">
                  <c:v>28150.800000000017</c:v>
                </c:pt>
                <c:pt idx="2">
                  <c:v>17582</c:v>
                </c:pt>
                <c:pt idx="3">
                  <c:v>44007.5</c:v>
                </c:pt>
                <c:pt idx="4">
                  <c:v>48590.500000000029</c:v>
                </c:pt>
                <c:pt idx="5">
                  <c:v>52613.109999999404</c:v>
                </c:pt>
              </c:numCache>
            </c:numRef>
          </c:val>
          <c:smooth val="0"/>
          <c:extLst>
            <c:ext xmlns:c16="http://schemas.microsoft.com/office/drawing/2014/chart" uri="{C3380CC4-5D6E-409C-BE32-E72D297353CC}">
              <c16:uniqueId val="{00000000-6C3F-453B-B93C-44F1E6A73B89}"/>
            </c:ext>
          </c:extLst>
        </c:ser>
        <c:dLbls>
          <c:showLegendKey val="0"/>
          <c:showVal val="0"/>
          <c:showCatName val="0"/>
          <c:showSerName val="0"/>
          <c:showPercent val="0"/>
          <c:showBubbleSize val="0"/>
        </c:dLbls>
        <c:marker val="1"/>
        <c:smooth val="0"/>
        <c:axId val="1416414080"/>
        <c:axId val="1359169424"/>
      </c:lineChart>
      <c:catAx>
        <c:axId val="141641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69424"/>
        <c:crosses val="autoZero"/>
        <c:auto val="1"/>
        <c:lblAlgn val="ctr"/>
        <c:lblOffset val="100"/>
        <c:noMultiLvlLbl val="0"/>
      </c:catAx>
      <c:valAx>
        <c:axId val="135916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1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2026.xlsx]Projection 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Commercial</a:t>
            </a:r>
            <a:r>
              <a:rPr lang="en-CA" baseline="0"/>
              <a:t> Auto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prstDash val="sysDash"/>
            <a:round/>
          </a:ln>
          <a:effectLst/>
        </c:spPr>
        <c:marker>
          <c:symbol val="circle"/>
          <c:size val="6"/>
          <c:spPr>
            <a:solidFill>
              <a:schemeClr val="accent1"/>
            </a:solidFill>
            <a:ln w="9525">
              <a:solidFill>
                <a:schemeClr val="accent1"/>
              </a:solidFill>
            </a:ln>
            <a:effectLst/>
          </c:spPr>
        </c:marker>
      </c:pivotFmt>
    </c:pivotFmts>
    <c:plotArea>
      <c:layout>
        <c:manualLayout>
          <c:layoutTarget val="inner"/>
          <c:xMode val="edge"/>
          <c:yMode val="edge"/>
          <c:x val="7.556211002204799E-2"/>
          <c:y val="0.24034205401744138"/>
          <c:w val="0.9035303125450852"/>
          <c:h val="0.6445632037930743"/>
        </c:manualLayout>
      </c:layout>
      <c:lineChart>
        <c:grouping val="standard"/>
        <c:varyColors val="0"/>
        <c:ser>
          <c:idx val="0"/>
          <c:order val="0"/>
          <c:tx>
            <c:strRef>
              <c:f>'Projection Charts'!$J$112</c:f>
              <c:strCache>
                <c:ptCount val="1"/>
                <c:pt idx="0">
                  <c:v>Total</c:v>
                </c:pt>
              </c:strCache>
            </c:strRef>
          </c:tx>
          <c:spPr>
            <a:ln w="28575" cap="rnd">
              <a:solidFill>
                <a:srgbClr val="FF0000"/>
              </a:solidFill>
              <a:round/>
            </a:ln>
            <a:effectLst/>
          </c:spPr>
          <c:marker>
            <c:symbol val="circle"/>
            <c:size val="6"/>
            <c:spPr>
              <a:solidFill>
                <a:schemeClr val="accent1"/>
              </a:solidFill>
              <a:ln w="9525">
                <a:solidFill>
                  <a:schemeClr val="accent1"/>
                </a:solidFill>
              </a:ln>
              <a:effectLst/>
            </c:spPr>
          </c:marker>
          <c:dPt>
            <c:idx val="5"/>
            <c:marker>
              <c:symbol val="circle"/>
              <c:size val="6"/>
              <c:spPr>
                <a:solidFill>
                  <a:schemeClr val="accent1"/>
                </a:solidFill>
                <a:ln w="9525">
                  <a:solidFill>
                    <a:schemeClr val="accent1"/>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2-A817-4BAA-A10B-CB5DAE3D392B}"/>
              </c:ext>
            </c:extLst>
          </c:dPt>
          <c:cat>
            <c:strRef>
              <c:f>'Projection Charts'!$I$113:$I$119</c:f>
              <c:strCache>
                <c:ptCount val="6"/>
                <c:pt idx="0">
                  <c:v>2021</c:v>
                </c:pt>
                <c:pt idx="1">
                  <c:v>2022</c:v>
                </c:pt>
                <c:pt idx="2">
                  <c:v>2023</c:v>
                </c:pt>
                <c:pt idx="3">
                  <c:v>2024</c:v>
                </c:pt>
                <c:pt idx="4">
                  <c:v>2025</c:v>
                </c:pt>
                <c:pt idx="5">
                  <c:v>2026</c:v>
                </c:pt>
              </c:strCache>
            </c:strRef>
          </c:cat>
          <c:val>
            <c:numRef>
              <c:f>'Projection Charts'!$J$113:$J$119</c:f>
              <c:numCache>
                <c:formatCode>0.0000%</c:formatCode>
                <c:ptCount val="6"/>
                <c:pt idx="0">
                  <c:v>2.8958198890067125E-2</c:v>
                </c:pt>
                <c:pt idx="1">
                  <c:v>2.7970852167296535E-2</c:v>
                </c:pt>
                <c:pt idx="2">
                  <c:v>2.1479691030194103E-2</c:v>
                </c:pt>
                <c:pt idx="3">
                  <c:v>4.0656837350973349E-2</c:v>
                </c:pt>
                <c:pt idx="4">
                  <c:v>3.9198846121535125E-2</c:v>
                </c:pt>
                <c:pt idx="5">
                  <c:v>4.0689496653100794E-2</c:v>
                </c:pt>
              </c:numCache>
            </c:numRef>
          </c:val>
          <c:smooth val="0"/>
          <c:extLst>
            <c:ext xmlns:c16="http://schemas.microsoft.com/office/drawing/2014/chart" uri="{C3380CC4-5D6E-409C-BE32-E72D297353CC}">
              <c16:uniqueId val="{00000000-A817-4BAA-A10B-CB5DAE3D392B}"/>
            </c:ext>
          </c:extLst>
        </c:ser>
        <c:dLbls>
          <c:showLegendKey val="0"/>
          <c:showVal val="0"/>
          <c:showCatName val="0"/>
          <c:showSerName val="0"/>
          <c:showPercent val="0"/>
          <c:showBubbleSize val="0"/>
        </c:dLbls>
        <c:marker val="1"/>
        <c:smooth val="0"/>
        <c:axId val="1736940256"/>
        <c:axId val="1359153104"/>
      </c:lineChart>
      <c:catAx>
        <c:axId val="17369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53104"/>
        <c:crosses val="autoZero"/>
        <c:auto val="1"/>
        <c:lblAlgn val="ctr"/>
        <c:lblOffset val="100"/>
        <c:noMultiLvlLbl val="0"/>
      </c:catAx>
      <c:valAx>
        <c:axId val="1359153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4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[Roy Quantify Case Sheet 2026.xlsx]By Date!PivotTable4</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'By Date'!$B$2:$B$3</c:f>
              <c:strCache>
                <c:ptCount val="1"/>
                <c:pt idx="0">
                  <c:v>Algorithmic Bias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'By Date'!$A$4:$A$9</c:f>
              <c:strCache>
                <c:ptCount val="5"/>
                <c:pt idx="0">
                  <c:v>2021</c:v>
                </c:pt>
                <c:pt idx="1">
                  <c:v>2022</c:v>
                </c:pt>
                <c:pt idx="2">
                  <c:v>2023</c:v>
                </c:pt>
                <c:pt idx="3">
                  <c:v>2024</c:v>
                </c:pt>
                <c:pt idx="4">
                  <c:v>2025</c:v>
                </c:pt>
              </c:strCache>
            </c:strRef>
          </c:cat>
          <c:val>
            <c:numRef>
              <c:f>'By Date'!$B$4:$B$9</c:f>
              <c:numCache>
                <c:formatCode>\$#,##0</c:formatCode>
                <c:ptCount val="5"/>
                <c:pt idx="0">
                  <c:v>9377000</c:v>
                </c:pt>
                <c:pt idx="1">
                  <c:v>6005000</c:v>
                </c:pt>
                <c:pt idx="2">
                  <c:v>14265000</c:v>
                </c:pt>
                <c:pt idx="3">
                  <c:v>19878000</c:v>
                </c:pt>
                <c:pt idx="4">
                  <c:v>23073000</c:v>
                </c:pt>
              </c:numCache>
            </c:numRef>
          </c:val>
          <c:smooth val="0"/>
          <c:extLst>
            <c:ext xmlns:c16="http://schemas.microsoft.com/office/drawing/2014/chart" uri="{C3380CC4-5D6E-409C-BE32-E72D297353CC}">
              <c16:uniqueId val="{00000000-A6C3-ED4A-99B7-212DF7C58747}"/>
            </c:ext>
          </c:extLst>
        </c:ser>
        <c:ser>
          <c:idx val="1"/>
          <c:order val="1"/>
          <c:tx>
            <c:strRef>
              <c:f>'By Date'!$C$2:$C$3</c:f>
              <c:strCache>
                <c:ptCount val="1"/>
                <c:pt idx="0">
                  <c:v>Autonomous System Failure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'By Date'!$A$4:$A$9</c:f>
              <c:strCache>
                <c:ptCount val="5"/>
                <c:pt idx="0">
                  <c:v>2021</c:v>
                </c:pt>
                <c:pt idx="1">
                  <c:v>2022</c:v>
                </c:pt>
                <c:pt idx="2">
                  <c:v>2023</c:v>
                </c:pt>
                <c:pt idx="3">
                  <c:v>2024</c:v>
                </c:pt>
                <c:pt idx="4">
                  <c:v>2025</c:v>
                </c:pt>
              </c:strCache>
            </c:strRef>
          </c:cat>
          <c:val>
            <c:numRef>
              <c:f>'By Date'!$C$4:$C$9</c:f>
              <c:numCache>
                <c:formatCode>\$#,##0</c:formatCode>
                <c:ptCount val="5"/>
                <c:pt idx="1">
                  <c:v>23105000</c:v>
                </c:pt>
                <c:pt idx="2">
                  <c:v>47616000</c:v>
                </c:pt>
                <c:pt idx="3">
                  <c:v>15481000</c:v>
                </c:pt>
                <c:pt idx="4">
                  <c:v>92914000</c:v>
                </c:pt>
              </c:numCache>
            </c:numRef>
          </c:val>
          <c:smooth val="0"/>
          <c:extLst>
            <c:ext xmlns:c16="http://schemas.microsoft.com/office/drawing/2014/chart" uri="{C3380CC4-5D6E-409C-BE32-E72D297353CC}">
              <c16:uniqueId val="{00000002-A6C3-ED4A-99B7-212DF7C58747}"/>
            </c:ext>
          </c:extLst>
        </c:ser>
        <c:ser>
          <c:idx val="2"/>
          <c:order val="2"/>
          <c:tx>
            <c:strRef>
              <c:f>'By Date'!$D$2:$D$3</c:f>
              <c:strCache>
                <c:ptCount val="1"/>
                <c:pt idx="0">
                  <c:v>Cyber Exploitation via AI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'By Date'!$A$4:$A$9</c:f>
              <c:strCache>
                <c:ptCount val="5"/>
                <c:pt idx="0">
                  <c:v>2021</c:v>
                </c:pt>
                <c:pt idx="1">
                  <c:v>2022</c:v>
                </c:pt>
                <c:pt idx="2">
                  <c:v>2023</c:v>
                </c:pt>
                <c:pt idx="3">
                  <c:v>2024</c:v>
                </c:pt>
                <c:pt idx="4">
                  <c:v>2025</c:v>
                </c:pt>
              </c:strCache>
            </c:strRef>
          </c:cat>
          <c:val>
            <c:numRef>
              <c:f>'By Date'!$D$4:$D$9</c:f>
              <c:numCache>
                <c:formatCode>\$#,##0</c:formatCode>
                <c:ptCount val="5"/>
                <c:pt idx="0">
                  <c:v>15552000</c:v>
                </c:pt>
                <c:pt idx="1">
                  <c:v>4049000</c:v>
                </c:pt>
                <c:pt idx="2">
                  <c:v>3923000</c:v>
                </c:pt>
                <c:pt idx="3">
                  <c:v>24903000</c:v>
                </c:pt>
                <c:pt idx="4">
                  <c:v>13988000</c:v>
                </c:pt>
              </c:numCache>
            </c:numRef>
          </c:val>
          <c:smooth val="0"/>
          <c:extLst>
            <c:ext xmlns:c16="http://schemas.microsoft.com/office/drawing/2014/chart" uri="{C3380CC4-5D6E-409C-BE32-E72D297353CC}">
              <c16:uniqueId val="{00000003-A6C3-ED4A-99B7-212DF7C58747}"/>
            </c:ext>
          </c:extLst>
        </c:ser>
        <c:ser>
          <c:idx val="3"/>
          <c:order val="3"/>
          <c:tx>
            <c:strRef>
              <c:f>'By Date'!$E$2:$E$3</c:f>
              <c:strCache>
                <c:ptCount val="1"/>
                <c:pt idx="0">
                  <c:v>Hallucinated Output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'By Date'!$A$4:$A$9</c:f>
              <c:strCache>
                <c:ptCount val="5"/>
                <c:pt idx="0">
                  <c:v>2021</c:v>
                </c:pt>
                <c:pt idx="1">
                  <c:v>2022</c:v>
                </c:pt>
                <c:pt idx="2">
                  <c:v>2023</c:v>
                </c:pt>
                <c:pt idx="3">
                  <c:v>2024</c:v>
                </c:pt>
                <c:pt idx="4">
                  <c:v>2025</c:v>
                </c:pt>
              </c:strCache>
            </c:strRef>
          </c:cat>
          <c:val>
            <c:numRef>
              <c:f>'By Date'!$E$4:$E$9</c:f>
              <c:numCache>
                <c:formatCode>\$#,##0</c:formatCode>
                <c:ptCount val="5"/>
                <c:pt idx="1">
                  <c:v>1217000</c:v>
                </c:pt>
                <c:pt idx="2">
                  <c:v>964000</c:v>
                </c:pt>
                <c:pt idx="3">
                  <c:v>1065000</c:v>
                </c:pt>
                <c:pt idx="4">
                  <c:v>2217000</c:v>
                </c:pt>
              </c:numCache>
            </c:numRef>
          </c:val>
          <c:smooth val="0"/>
          <c:extLst>
            <c:ext xmlns:c16="http://schemas.microsoft.com/office/drawing/2014/chart" uri="{C3380CC4-5D6E-409C-BE32-E72D297353CC}">
              <c16:uniqueId val="{00000004-A6C3-ED4A-99B7-212DF7C58747}"/>
            </c:ext>
          </c:extLst>
        </c:ser>
        <c:ser>
          <c:idx val="4"/>
          <c:order val="4"/>
          <c:tx>
            <c:strRef>
              <c:f>'By Date'!$F$2:$F$3</c:f>
              <c:strCache>
                <c:ptCount val="1"/>
                <c:pt idx="0">
                  <c:v>Misinformation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'By Date'!$A$4:$A$9</c:f>
              <c:strCache>
                <c:ptCount val="5"/>
                <c:pt idx="0">
                  <c:v>2021</c:v>
                </c:pt>
                <c:pt idx="1">
                  <c:v>2022</c:v>
                </c:pt>
                <c:pt idx="2">
                  <c:v>2023</c:v>
                </c:pt>
                <c:pt idx="3">
                  <c:v>2024</c:v>
                </c:pt>
                <c:pt idx="4">
                  <c:v>2025</c:v>
                </c:pt>
              </c:strCache>
            </c:strRef>
          </c:cat>
          <c:val>
            <c:numRef>
              <c:f>'By Date'!$F$4:$F$9</c:f>
              <c:numCache>
                <c:formatCode>\$#,##0</c:formatCode>
                <c:ptCount val="5"/>
                <c:pt idx="0">
                  <c:v>441000</c:v>
                </c:pt>
                <c:pt idx="1">
                  <c:v>1530000</c:v>
                </c:pt>
                <c:pt idx="2">
                  <c:v>3029000</c:v>
                </c:pt>
                <c:pt idx="3">
                  <c:v>3683000</c:v>
                </c:pt>
                <c:pt idx="4">
                  <c:v>2437000</c:v>
                </c:pt>
              </c:numCache>
            </c:numRef>
          </c:val>
          <c:smooth val="0"/>
          <c:extLst>
            <c:ext xmlns:c16="http://schemas.microsoft.com/office/drawing/2014/chart" uri="{C3380CC4-5D6E-409C-BE32-E72D297353CC}">
              <c16:uniqueId val="{00000005-A6C3-ED4A-99B7-212DF7C58747}"/>
            </c:ext>
          </c:extLst>
        </c:ser>
        <c:ser>
          <c:idx val="5"/>
          <c:order val="5"/>
          <c:tx>
            <c:strRef>
              <c:f>'By Date'!$G$2:$G$3</c:f>
              <c:strCache>
                <c:ptCount val="1"/>
                <c:pt idx="0">
                  <c:v>Privacy and Security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'By Date'!$A$4:$A$9</c:f>
              <c:strCache>
                <c:ptCount val="5"/>
                <c:pt idx="0">
                  <c:v>2021</c:v>
                </c:pt>
                <c:pt idx="1">
                  <c:v>2022</c:v>
                </c:pt>
                <c:pt idx="2">
                  <c:v>2023</c:v>
                </c:pt>
                <c:pt idx="3">
                  <c:v>2024</c:v>
                </c:pt>
                <c:pt idx="4">
                  <c:v>2025</c:v>
                </c:pt>
              </c:strCache>
            </c:strRef>
          </c:cat>
          <c:val>
            <c:numRef>
              <c:f>'By Date'!$G$4:$G$9</c:f>
              <c:numCache>
                <c:formatCode>\$#,##0</c:formatCode>
                <c:ptCount val="5"/>
                <c:pt idx="0">
                  <c:v>7962000</c:v>
                </c:pt>
                <c:pt idx="1">
                  <c:v>7755000</c:v>
                </c:pt>
                <c:pt idx="2">
                  <c:v>21003000</c:v>
                </c:pt>
                <c:pt idx="3">
                  <c:v>28991000</c:v>
                </c:pt>
                <c:pt idx="4">
                  <c:v>49647000</c:v>
                </c:pt>
              </c:numCache>
            </c:numRef>
          </c:val>
          <c:smooth val="0"/>
          <c:extLst>
            <c:ext xmlns:c16="http://schemas.microsoft.com/office/drawing/2014/chart" uri="{C3380CC4-5D6E-409C-BE32-E72D297353CC}">
              <c16:uniqueId val="{00000006-A6C3-ED4A-99B7-212DF7C58747}"/>
            </c:ext>
          </c:extLst>
        </c:ser>
        <c:dLbls>
          <c:showLegendKey val="0"/>
          <c:showVal val="0"/>
          <c:showCatName val="0"/>
          <c:showSerName val="0"/>
          <c:showPercent val="0"/>
          <c:showBubbleSize val="0"/>
        </c:dLbls>
        <c:marker val="1"/>
        <c:smooth val="0"/>
        <c:axId val="1449118208"/>
        <c:axId val="1449119920"/>
      </c:lineChart>
      <c:catAx>
        <c:axId val="14491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119920"/>
        <c:crosses val="autoZero"/>
        <c:auto val="1"/>
        <c:lblAlgn val="ctr"/>
        <c:lblOffset val="100"/>
        <c:noMultiLvlLbl val="0"/>
      </c:catAx>
      <c:valAx>
        <c:axId val="1449119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11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1247776</xdr:colOff>
      <xdr:row>1</xdr:row>
      <xdr:rowOff>57150</xdr:rowOff>
    </xdr:from>
    <xdr:to>
      <xdr:col>8</xdr:col>
      <xdr:colOff>742950</xdr:colOff>
      <xdr:row>21</xdr:row>
      <xdr:rowOff>146050</xdr:rowOff>
    </xdr:to>
    <xdr:graphicFrame macro="">
      <xdr:nvGraphicFramePr>
        <xdr:cNvPr id="3" name="Chart 2">
          <a:extLst>
            <a:ext uri="{FF2B5EF4-FFF2-40B4-BE49-F238E27FC236}">
              <a16:creationId xmlns:a16="http://schemas.microsoft.com/office/drawing/2014/main" id="{E3DBE13E-0355-D0EB-850C-0C0C965C8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1244600</xdr:colOff>
      <xdr:row>22</xdr:row>
      <xdr:rowOff>127000</xdr:rowOff>
    </xdr:from>
    <xdr:to>
      <xdr:col>8</xdr:col>
      <xdr:colOff>711200</xdr:colOff>
      <xdr:row>43</xdr:row>
      <xdr:rowOff>76200</xdr:rowOff>
    </xdr:to>
    <xdr:graphicFrame macro="">
      <xdr:nvGraphicFramePr>
        <xdr:cNvPr id="4" name="Chart 3">
          <a:extLst>
            <a:ext uri="{FF2B5EF4-FFF2-40B4-BE49-F238E27FC236}">
              <a16:creationId xmlns:a16="http://schemas.microsoft.com/office/drawing/2014/main" id="{AF8E5C06-0674-6D36-0435-65715EAE4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1260474</xdr:colOff>
      <xdr:row>43</xdr:row>
      <xdr:rowOff>142874</xdr:rowOff>
    </xdr:from>
    <xdr:to>
      <xdr:col>8</xdr:col>
      <xdr:colOff>704850</xdr:colOff>
      <xdr:row>63</xdr:row>
      <xdr:rowOff>76200</xdr:rowOff>
    </xdr:to>
    <xdr:graphicFrame macro="">
      <xdr:nvGraphicFramePr>
        <xdr:cNvPr id="5" name="Chart 4">
          <a:extLst>
            <a:ext uri="{FF2B5EF4-FFF2-40B4-BE49-F238E27FC236}">
              <a16:creationId xmlns:a16="http://schemas.microsoft.com/office/drawing/2014/main" id="{ED93934D-9BBC-2B98-E60C-BF6669F6A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1209675</xdr:colOff>
      <xdr:row>64</xdr:row>
      <xdr:rowOff>38098</xdr:rowOff>
    </xdr:from>
    <xdr:to>
      <xdr:col>8</xdr:col>
      <xdr:colOff>685800</xdr:colOff>
      <xdr:row>85</xdr:row>
      <xdr:rowOff>9525</xdr:rowOff>
    </xdr:to>
    <xdr:graphicFrame macro="">
      <xdr:nvGraphicFramePr>
        <xdr:cNvPr id="6" name="Chart 5">
          <a:extLst>
            <a:ext uri="{FF2B5EF4-FFF2-40B4-BE49-F238E27FC236}">
              <a16:creationId xmlns:a16="http://schemas.microsoft.com/office/drawing/2014/main" id="{5DA55F38-ECC0-EE7D-4CD3-15967B180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368299</xdr:colOff>
      <xdr:row>1</xdr:row>
      <xdr:rowOff>66674</xdr:rowOff>
    </xdr:from>
    <xdr:to>
      <xdr:col>16</xdr:col>
      <xdr:colOff>38100</xdr:colOff>
      <xdr:row>21</xdr:row>
      <xdr:rowOff>76200</xdr:rowOff>
    </xdr:to>
    <xdr:graphicFrame macro="">
      <xdr:nvGraphicFramePr>
        <xdr:cNvPr id="8" name="Chart 7">
          <a:extLst>
            <a:ext uri="{FF2B5EF4-FFF2-40B4-BE49-F238E27FC236}">
              <a16:creationId xmlns:a16="http://schemas.microsoft.com/office/drawing/2014/main" id="{35B4B06F-AC13-7CC8-7963-609D12682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314325</xdr:colOff>
      <xdr:row>22</xdr:row>
      <xdr:rowOff>47626</xdr:rowOff>
    </xdr:from>
    <xdr:to>
      <xdr:col>16</xdr:col>
      <xdr:colOff>0</xdr:colOff>
      <xdr:row>43</xdr:row>
      <xdr:rowOff>38101</xdr:rowOff>
    </xdr:to>
    <xdr:graphicFrame macro="">
      <xdr:nvGraphicFramePr>
        <xdr:cNvPr id="9" name="Chart 8">
          <a:extLst>
            <a:ext uri="{FF2B5EF4-FFF2-40B4-BE49-F238E27FC236}">
              <a16:creationId xmlns:a16="http://schemas.microsoft.com/office/drawing/2014/main" id="{5E043720-71E5-36BC-F63E-18C9E69C5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342900</xdr:colOff>
      <xdr:row>44</xdr:row>
      <xdr:rowOff>9525</xdr:rowOff>
    </xdr:from>
    <xdr:to>
      <xdr:col>16</xdr:col>
      <xdr:colOff>9525</xdr:colOff>
      <xdr:row>63</xdr:row>
      <xdr:rowOff>57150</xdr:rowOff>
    </xdr:to>
    <xdr:graphicFrame macro="">
      <xdr:nvGraphicFramePr>
        <xdr:cNvPr id="10" name="Chart 9">
          <a:extLst>
            <a:ext uri="{FF2B5EF4-FFF2-40B4-BE49-F238E27FC236}">
              <a16:creationId xmlns:a16="http://schemas.microsoft.com/office/drawing/2014/main" id="{9BA39F1A-EC6B-EAE0-91DD-B6658044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336550</xdr:colOff>
      <xdr:row>64</xdr:row>
      <xdr:rowOff>76200</xdr:rowOff>
    </xdr:from>
    <xdr:to>
      <xdr:col>15</xdr:col>
      <xdr:colOff>714375</xdr:colOff>
      <xdr:row>84</xdr:row>
      <xdr:rowOff>127000</xdr:rowOff>
    </xdr:to>
    <xdr:graphicFrame macro="">
      <xdr:nvGraphicFramePr>
        <xdr:cNvPr id="11" name="Chart 10">
          <a:extLst>
            <a:ext uri="{FF2B5EF4-FFF2-40B4-BE49-F238E27FC236}">
              <a16:creationId xmlns:a16="http://schemas.microsoft.com/office/drawing/2014/main" id="{DA25C7A9-DC95-CD6C-43A9-43FDA4FEA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438151</xdr:colOff>
      <xdr:row>87</xdr:row>
      <xdr:rowOff>47624</xdr:rowOff>
    </xdr:from>
    <xdr:to>
      <xdr:col>4</xdr:col>
      <xdr:colOff>809625</xdr:colOff>
      <xdr:row>106</xdr:row>
      <xdr:rowOff>104774</xdr:rowOff>
    </xdr:to>
    <xdr:graphicFrame macro="">
      <xdr:nvGraphicFramePr>
        <xdr:cNvPr id="2" name="Chart 1">
          <a:extLst>
            <a:ext uri="{FF2B5EF4-FFF2-40B4-BE49-F238E27FC236}">
              <a16:creationId xmlns:a16="http://schemas.microsoft.com/office/drawing/2014/main" id="{AA49428D-857F-300A-1574-F5BD3BA79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409575</xdr:colOff>
      <xdr:row>86</xdr:row>
      <xdr:rowOff>161924</xdr:rowOff>
    </xdr:from>
    <xdr:to>
      <xdr:col>18</xdr:col>
      <xdr:colOff>276225</xdr:colOff>
      <xdr:row>107</xdr:row>
      <xdr:rowOff>95250</xdr:rowOff>
    </xdr:to>
    <xdr:graphicFrame macro="">
      <xdr:nvGraphicFramePr>
        <xdr:cNvPr id="7" name="Chart 6">
          <a:extLst>
            <a:ext uri="{FF2B5EF4-FFF2-40B4-BE49-F238E27FC236}">
              <a16:creationId xmlns:a16="http://schemas.microsoft.com/office/drawing/2014/main" id="{4BF3C34F-F111-D6A8-7C0D-891CE83AE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485774</xdr:colOff>
      <xdr:row>108</xdr:row>
      <xdr:rowOff>161924</xdr:rowOff>
    </xdr:from>
    <xdr:to>
      <xdr:col>4</xdr:col>
      <xdr:colOff>781049</xdr:colOff>
      <xdr:row>126</xdr:row>
      <xdr:rowOff>95249</xdr:rowOff>
    </xdr:to>
    <xdr:graphicFrame macro="">
      <xdr:nvGraphicFramePr>
        <xdr:cNvPr id="12" name="Chart 11">
          <a:extLst>
            <a:ext uri="{FF2B5EF4-FFF2-40B4-BE49-F238E27FC236}">
              <a16:creationId xmlns:a16="http://schemas.microsoft.com/office/drawing/2014/main" id="{35DB197B-9D82-4C98-E54F-1A82B7EC0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376237</xdr:colOff>
      <xdr:row>109</xdr:row>
      <xdr:rowOff>133350</xdr:rowOff>
    </xdr:from>
    <xdr:to>
      <xdr:col>18</xdr:col>
      <xdr:colOff>95250</xdr:colOff>
      <xdr:row>131</xdr:row>
      <xdr:rowOff>85726</xdr:rowOff>
    </xdr:to>
    <xdr:graphicFrame macro="">
      <xdr:nvGraphicFramePr>
        <xdr:cNvPr id="13" name="Chart 12">
          <a:extLst>
            <a:ext uri="{FF2B5EF4-FFF2-40B4-BE49-F238E27FC236}">
              <a16:creationId xmlns:a16="http://schemas.microsoft.com/office/drawing/2014/main" id="{77A2DBEC-9209-DEE9-EA9D-362E70F0E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1506009</xdr:colOff>
      <xdr:row>10</xdr:row>
      <xdr:rowOff>12697</xdr:rowOff>
    </xdr:from>
    <xdr:to>
      <xdr:col>6</xdr:col>
      <xdr:colOff>1201209</xdr:colOff>
      <xdr:row>35</xdr:row>
      <xdr:rowOff>0</xdr:rowOff>
    </xdr:to>
    <xdr:graphicFrame macro="">
      <xdr:nvGraphicFramePr>
        <xdr:cNvPr id="3" name="Chart 2">
          <a:extLst>
            <a:ext uri="{FF2B5EF4-FFF2-40B4-BE49-F238E27FC236}">
              <a16:creationId xmlns:a16="http://schemas.microsoft.com/office/drawing/2014/main" id="{BDB151D5-C960-F16E-46D1-A7399019C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28.644526736112" createdVersion="8" refreshedVersion="8" minRefreshableVersion="3" recordCount="135" xr:uid="{C651ECD9-1E4C-CA42-8BD1-02C2CC548762}">
  <cacheSource type="worksheet">
    <worksheetSource ref="A2:G137" sheet="Exhibit B"/>
  </cacheSource>
  <cacheFields count="7">
    <cacheField name="ID" numFmtId="0">
      <sharedItems/>
    </cacheField>
    <cacheField name="Title/Description" numFmtId="0">
      <sharedItems/>
    </cacheField>
    <cacheField name="Incident Date" numFmtId="14">
      <sharedItems containsDate="1" containsMixedTypes="1" minDate="2021-09-07T00:00:00" maxDate="2025-12-16T00:00:00"/>
    </cacheField>
    <cacheField name="Industry" numFmtId="0">
      <sharedItems count="7">
        <s v="Financial Services"/>
        <s v="Healthcare"/>
        <s v="E-commerce"/>
        <s v="Marketing/Advertising"/>
        <s v="Technology/SaaS"/>
        <s v="Legal Services"/>
        <s v="HR/Recruiting"/>
      </sharedItems>
    </cacheField>
    <cacheField name="Failure Type" numFmtId="0">
      <sharedItems count="6">
        <s v="Algorithmic Bias"/>
        <s v="Hallucinated Output"/>
        <s v="Privacy and Security"/>
        <s v="Cyber Exploitation via AI"/>
        <s v="Misinformation"/>
        <s v="Autonomous System Failure"/>
      </sharedItems>
    </cacheField>
    <cacheField name="Human Oversight" numFmtId="0">
      <sharedItems count="2">
        <s v="Yes"/>
        <s v="No"/>
      </sharedItems>
    </cacheField>
    <cacheField name="Estimated Insured Loss (CAD)" numFmtId="166">
      <sharedItems containsSemiMixedTypes="0" containsString="0" containsNumber="1" containsInteger="1" minValue="55000" maxValue="31173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28.686105555556" createdVersion="8" refreshedVersion="8" minRefreshableVersion="3" recordCount="135" xr:uid="{60BC51DB-6B92-B04E-BD05-B39977614D88}">
  <cacheSource type="worksheet">
    <worksheetSource ref="A2:H137" sheet="Exhibit B"/>
  </cacheSource>
  <cacheFields count="8">
    <cacheField name="ID" numFmtId="0">
      <sharedItems/>
    </cacheField>
    <cacheField name="Title/Description" numFmtId="0">
      <sharedItems/>
    </cacheField>
    <cacheField name="Incident Date" numFmtId="167">
      <sharedItems containsDate="1" containsMixedTypes="1" minDate="2021-09-07T00:00:00" maxDate="2025-12-16T00:00:00"/>
    </cacheField>
    <cacheField name="Industry" numFmtId="0">
      <sharedItems/>
    </cacheField>
    <cacheField name="Failure Type" numFmtId="0">
      <sharedItems count="6">
        <s v="Cyber Exploitation via AI"/>
        <s v="Hallucinated Output"/>
        <s v="Algorithmic Bias"/>
        <s v="Misinformation"/>
        <s v="Privacy and Security"/>
        <s v="Autonomous System Failure"/>
      </sharedItems>
    </cacheField>
    <cacheField name="Human Oversight" numFmtId="0">
      <sharedItems/>
    </cacheField>
    <cacheField name="Estimated Insured Loss (CAD)" numFmtId="166">
      <sharedItems containsSemiMixedTypes="0" containsString="0" containsNumber="1" containsInteger="1" minValue="55000" maxValue="31173000"/>
    </cacheField>
    <cacheField name="Year Category" numFmtId="0">
      <sharedItems containsSemiMixedTypes="0" containsString="0" containsNumber="1" containsInteger="1" minValue="2021" maxValue="2025" count="5">
        <n v="2024"/>
        <n v="2025"/>
        <n v="2021"/>
        <n v="2023"/>
        <n v="202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34.715266550927" createdVersion="8" refreshedVersion="8" minRefreshableVersion="3" recordCount="6" xr:uid="{52EFAF6E-4C6E-8841-B2EB-4668B6A371E9}">
  <cacheSource type="worksheet">
    <worksheetSource ref="H60:K66" sheet="Projections"/>
  </cacheSource>
  <cacheFields count="4">
    <cacheField name="Year" numFmtId="0">
      <sharedItems containsSemiMixedTypes="0" containsString="0" containsNumber="1" containsInteger="1" minValue="2021" maxValue="2026" count="6">
        <n v="2021"/>
        <n v="2022"/>
        <n v="2023"/>
        <n v="2024"/>
        <n v="2025"/>
        <n v="2026"/>
      </sharedItems>
    </cacheField>
    <cacheField name="Estimated Profit" numFmtId="0">
      <sharedItems containsSemiMixedTypes="0" containsString="0" containsNumber="1" minValue="7363.0999999999949" maxValue="19216.000000000007" count="6">
        <n v="13032.800000000003"/>
        <n v="7363.0999999999949"/>
        <n v="12244.199999999997"/>
        <n v="9871.1000000000022"/>
        <n v="19216.000000000007"/>
        <n v="16807.760000000242"/>
      </sharedItems>
    </cacheField>
    <cacheField name="Estimated NAR" numFmtId="0">
      <sharedItems containsSemiMixedTypes="0" containsString="0" containsNumber="1" minValue="377839.90138067061" maxValue="552503.89425754792" count="6">
        <n v="377839.90138067061"/>
        <n v="396290.01640316204"/>
        <n v="476740.62"/>
        <n v="486268.84465849382"/>
        <n v="499439.97209302324"/>
        <n v="552503.89425754792"/>
      </sharedItems>
    </cacheField>
    <cacheField name="Profit Margin" numFmtId="0">
      <sharedItems containsSemiMixedTypes="0" containsString="0" containsNumber="1" minValue="1.8580079475202353E-2" maxValue="3.847509425301051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34.721598148149" createdVersion="8" refreshedVersion="8" minRefreshableVersion="3" recordCount="6" xr:uid="{DBB263DD-ACA9-A948-BDA6-6620D8C7C6D0}">
  <cacheSource type="worksheet">
    <worksheetSource ref="H71:K77" sheet="Projections"/>
  </cacheSource>
  <cacheFields count="4">
    <cacheField name="Year" numFmtId="0">
      <sharedItems containsSemiMixedTypes="0" containsString="0" containsNumber="1" containsInteger="1" minValue="2021" maxValue="2026" count="6">
        <n v="2021"/>
        <n v="2022"/>
        <n v="2023"/>
        <n v="2024"/>
        <n v="2025"/>
        <n v="2026"/>
      </sharedItems>
    </cacheField>
    <cacheField name="Estimated Profit" numFmtId="0">
      <sharedItems containsSemiMixedTypes="0" containsString="0" containsNumber="1" minValue="-560.24999999627471" maxValue="16846.400000000001"/>
    </cacheField>
    <cacheField name="Estimated NAR" numFmtId="0">
      <sharedItems containsSemiMixedTypes="0" containsString="0" containsNumber="1" minValue="300237.41431870667" maxValue="1329826.0318420336"/>
    </cacheField>
    <cacheField name="Profit Margin" numFmtId="0">
      <sharedItems containsSemiMixedTypes="0" containsString="0" containsNumber="1" minValue="-4.2129570829669644E-4" maxValue="5.6110262067862356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34.724222453704" createdVersion="8" refreshedVersion="8" minRefreshableVersion="3" recordCount="6" xr:uid="{5B89FE6B-8FAC-E34C-9D8B-FE0FF68E5677}">
  <cacheSource type="worksheet">
    <worksheetSource ref="H79:K85" sheet="Projections"/>
  </cacheSource>
  <cacheFields count="4">
    <cacheField name="Year" numFmtId="0">
      <sharedItems containsSemiMixedTypes="0" containsString="0" containsNumber="1" containsInteger="1" minValue="2021" maxValue="2026" count="6">
        <n v="2021"/>
        <n v="2022"/>
        <n v="2023"/>
        <n v="2024"/>
        <n v="2025"/>
        <n v="2026"/>
      </sharedItems>
    </cacheField>
    <cacheField name="Estimated Profit" numFmtId="0">
      <sharedItems containsSemiMixedTypes="0" containsString="0" containsNumber="1" minValue="2630.4000000000051" maxValue="28122.930000000633"/>
    </cacheField>
    <cacheField name="Estimated NAR" numFmtId="0">
      <sharedItems containsSemiMixedTypes="0" containsString="0" containsNumber="1" minValue="165211.72268041238" maxValue="345162.70333514316"/>
    </cacheField>
    <cacheField name="Profit Margin" numFmtId="0">
      <sharedItems containsSemiMixedTypes="0" containsString="0" containsNumber="1" minValue="1.1632635428101695E-2" maxValue="8.1477314113784963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 Liu" refreshedDate="46234.725174421299" createdVersion="8" refreshedVersion="8" minRefreshableVersion="3" recordCount="6" xr:uid="{5B1A23EE-6FB9-4C4E-ABC5-99F21BD308D5}">
  <cacheSource type="worksheet">
    <worksheetSource ref="H88:K94" sheet="Projections"/>
  </cacheSource>
  <cacheFields count="4">
    <cacheField name="Year" numFmtId="0">
      <sharedItems containsSemiMixedTypes="0" containsString="0" containsNumber="1" containsInteger="1" minValue="2021" maxValue="2026" count="6">
        <n v="2021"/>
        <n v="2022"/>
        <n v="2023"/>
        <n v="2024"/>
        <n v="2025"/>
        <n v="2026"/>
      </sharedItems>
    </cacheField>
    <cacheField name="Estimated Profit" numFmtId="0">
      <sharedItems containsSemiMixedTypes="0" containsString="0" containsNumber="1" minValue="42131.299999999981" maxValue="50195.9" count="6">
        <n v="49961.400000000009"/>
        <n v="47888.2"/>
        <n v="47652.299999999996"/>
        <n v="50195.9"/>
        <n v="42131.299999999981"/>
        <n v="43560.069999999832"/>
      </sharedItems>
    </cacheField>
    <cacheField name="Estimated NAR" numFmtId="0">
      <sharedItems containsSemiMixedTypes="0" containsString="0" containsNumber="1" minValue="880168.3231083845" maxValue="990277.4154006968"/>
    </cacheField>
    <cacheField name="Profit Margin" numFmtId="0">
      <sharedItems containsSemiMixedTypes="0" containsString="0" containsNumber="1" minValue="4.7867321390538051E-2" maxValue="5.2081872734960684E-2"/>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mail farooqi" refreshedDate="46238.04287060185" createdVersion="8" refreshedVersion="8" minRefreshableVersion="3" recordCount="6" xr:uid="{8CFAAB16-DA74-4ACC-AFAF-09B6FA03E339}">
  <cacheSource type="worksheet">
    <worksheetSource ref="H96:K102" sheet="Projections"/>
  </cacheSource>
  <cacheFields count="4">
    <cacheField name="Year" numFmtId="0">
      <sharedItems containsSemiMixedTypes="0" containsString="0" containsNumber="1" containsInteger="1" minValue="2021" maxValue="2026" count="6">
        <n v="2021"/>
        <n v="2022"/>
        <n v="2023"/>
        <n v="2024"/>
        <n v="2025"/>
        <n v="2026"/>
      </sharedItems>
    </cacheField>
    <cacheField name="Estimated Profit" numFmtId="0">
      <sharedItems containsSemiMixedTypes="0" containsString="0" containsNumber="1" minValue="17582" maxValue="52613.109999999404"/>
    </cacheField>
    <cacheField name="Estimated NAR" numFmtId="0">
      <sharedItems containsSemiMixedTypes="0" containsString="0" containsNumber="1" minValue="773905.1757009346" maxValue="1293039.0967613496"/>
    </cacheField>
    <cacheField name="Profit Margin" numFmtId="169">
      <sharedItems containsSemiMixedTypes="0" containsString="0" containsNumber="1" minValue="2.1479691030194103E-2" maxValue="4.0689496653100794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AI-0001"/>
    <s v="Mortgage-approval AI denied applications in racialized neighborhoods at higher rate"/>
    <s v="21/03/2024"/>
    <x v="0"/>
    <x v="0"/>
    <x v="0"/>
    <n v="2448000"/>
  </r>
  <r>
    <s v="AI-0002"/>
    <s v="AI scribe invented patient symptoms in discharge summary"/>
    <s v="17/05/2025"/>
    <x v="1"/>
    <x v="1"/>
    <x v="1"/>
    <n v="260000"/>
  </r>
  <r>
    <s v="AI-0003"/>
    <s v="Pharmacy AI assistant transmitted prescription data to unauthorized third party"/>
    <d v="2025-11-05T00:00:00"/>
    <x v="1"/>
    <x v="2"/>
    <x v="1"/>
    <n v="7005000"/>
  </r>
  <r>
    <s v="AI-0004"/>
    <s v="Clinical chatbot logged sensitive intake notes to public training dataset"/>
    <d v="2023-04-09T00:00:00"/>
    <x v="1"/>
    <x v="2"/>
    <x v="0"/>
    <n v="2850000"/>
  </r>
  <r>
    <s v="AI-0005"/>
    <s v="Product recommendation AI fabricated specifications for listed items"/>
    <s v="15/08/2025"/>
    <x v="2"/>
    <x v="1"/>
    <x v="0"/>
    <n v="159000"/>
  </r>
  <r>
    <s v="AI-0006"/>
    <s v="Credit-scoring AI used postal code as proxy for race, regulator fined lender"/>
    <s v="27/07/2023"/>
    <x v="0"/>
    <x v="0"/>
    <x v="1"/>
    <n v="4477000"/>
  </r>
  <r>
    <s v="AI-0007"/>
    <s v="AI-generated phishing breached client portal of regional bank"/>
    <s v="14/10/2021"/>
    <x v="0"/>
    <x v="3"/>
    <x v="1"/>
    <n v="4779000"/>
  </r>
  <r>
    <s v="AI-0008"/>
    <s v="AI copywriter produced misleading comparative advertising, regulator fined firm"/>
    <d v="2024-07-12T00:00:00"/>
    <x v="3"/>
    <x v="4"/>
    <x v="1"/>
    <n v="800000"/>
  </r>
  <r>
    <s v="AI-0009"/>
    <s v="AI press release hallucinated executive quotes"/>
    <d v="2024-04-08T00:00:00"/>
    <x v="3"/>
    <x v="1"/>
    <x v="0"/>
    <n v="108000"/>
  </r>
  <r>
    <s v="AI-0010"/>
    <s v="AI image generator created racially stereotyped campaign visuals"/>
    <s v="17/12/2025"/>
    <x v="3"/>
    <x v="4"/>
    <x v="1"/>
    <n v="781000"/>
  </r>
  <r>
    <s v="AI-0011"/>
    <s v="Diagnostic AI vendor breach leaked imaging data of 75,000 patients"/>
    <d v="2023-04-01T00:00:00"/>
    <x v="1"/>
    <x v="2"/>
    <x v="1"/>
    <n v="3845000"/>
  </r>
  <r>
    <s v="AI-0012"/>
    <s v="EHR-integrated AI exposed mental health notes through prompt injection attack"/>
    <d v="2025-04-05T00:00:00"/>
    <x v="1"/>
    <x v="2"/>
    <x v="1"/>
    <n v="2169000"/>
  </r>
  <r>
    <s v="AI-0013"/>
    <s v="Self-healing AI escalated outage by restarting healthy nodes"/>
    <s v="17/07/2025"/>
    <x v="4"/>
    <x v="5"/>
    <x v="0"/>
    <n v="12887000"/>
  </r>
  <r>
    <s v="AI-0014"/>
    <s v="AI-generated platform notification spread false outage information"/>
    <s v="13/02/2023"/>
    <x v="4"/>
    <x v="4"/>
    <x v="1"/>
    <n v="652000"/>
  </r>
  <r>
    <s v="AI-0015"/>
    <s v="Paralegal AI assistant fabricated quotes from real Supreme Court rulings"/>
    <d v="2025-12-06T00:00:00"/>
    <x v="5"/>
    <x v="1"/>
    <x v="0"/>
    <n v="194000"/>
  </r>
  <r>
    <s v="AI-0016"/>
    <s v="AI-generated malware bypassed endpoint detection at SaaS provider"/>
    <d v="2024-02-15T00:00:00"/>
    <x v="4"/>
    <x v="3"/>
    <x v="0"/>
    <n v="4698000"/>
  </r>
  <r>
    <s v="AI-0017"/>
    <s v="Skills-matching AI excluded candidates with disability accommodations"/>
    <s v="14/05/2025"/>
    <x v="6"/>
    <x v="0"/>
    <x v="1"/>
    <n v="3322000"/>
  </r>
  <r>
    <s v="AI-0018"/>
    <s v="Law firm's AI intake bot leaked client conflict-check data"/>
    <s v="22/12/2025"/>
    <x v="5"/>
    <x v="2"/>
    <x v="1"/>
    <n v="5342000"/>
  </r>
  <r>
    <s v="AI-0019"/>
    <s v="Robotic surgery assistant deviated from planned trajectory, patient injury"/>
    <d v="2023-12-01T00:00:00"/>
    <x v="1"/>
    <x v="5"/>
    <x v="1"/>
    <n v="31173000"/>
  </r>
  <r>
    <s v="AI-0020"/>
    <s v="AI code review tool approved security-vulnerable pull request"/>
    <s v="28/04/2025"/>
    <x v="4"/>
    <x v="1"/>
    <x v="1"/>
    <n v="95000"/>
  </r>
  <r>
    <s v="AI-0021"/>
    <s v="Deepfake voice attack targeted marketing/advertising company executive"/>
    <s v="28/10/2024"/>
    <x v="3"/>
    <x v="3"/>
    <x v="0"/>
    <n v="2067000"/>
  </r>
  <r>
    <s v="AI-0022"/>
    <s v="Recommendation AI exposed purchase histories of 120 customers"/>
    <d v="2022-03-01T00:00:00"/>
    <x v="2"/>
    <x v="2"/>
    <x v="0"/>
    <n v="2802000"/>
  </r>
  <r>
    <s v="AI-0023"/>
    <s v="Ad targeting AI exposed user behavioral data through model inversion attack"/>
    <s v="21/04/2024"/>
    <x v="3"/>
    <x v="2"/>
    <x v="1"/>
    <n v="5299000"/>
  </r>
  <r>
    <s v="AI-0024"/>
    <s v="Content moderation AI disproportionately flagged minority-language posts"/>
    <d v="2024-04-08T00:00:00"/>
    <x v="4"/>
    <x v="0"/>
    <x v="1"/>
    <n v="3505000"/>
  </r>
  <r>
    <s v="AI-0025"/>
    <s v="AI-generated job description listed nonexistent legal requirements"/>
    <d v="2024-08-08T00:00:00"/>
    <x v="6"/>
    <x v="4"/>
    <x v="0"/>
    <n v="298000"/>
  </r>
  <r>
    <s v="AI-0026"/>
    <s v="Trademark search AI invented prior art that did not exist"/>
    <s v="28/07/2025"/>
    <x v="5"/>
    <x v="1"/>
    <x v="0"/>
    <n v="104000"/>
  </r>
  <r>
    <s v="AI-0027"/>
    <s v="Voice-cloned celebrity ad ran without consent, lawsuit filed"/>
    <s v="23/07/2023"/>
    <x v="3"/>
    <x v="4"/>
    <x v="0"/>
    <n v="214000"/>
  </r>
  <r>
    <s v="AI-0028"/>
    <s v="AI-generated ad campaign used fabricated customer testimonials"/>
    <d v="2022-01-02T00:00:00"/>
    <x v="3"/>
    <x v="4"/>
    <x v="1"/>
    <n v="618000"/>
  </r>
  <r>
    <s v="AI-0029"/>
    <s v="Cloud-based AI legal tool exposed confidential M&amp;A documents"/>
    <d v="2024-10-04T00:00:00"/>
    <x v="5"/>
    <x v="2"/>
    <x v="0"/>
    <n v="4522000"/>
  </r>
  <r>
    <s v="AI-0030"/>
    <s v="Immigration AI tool cited fake precedents in federal court filing"/>
    <s v="22/09/2022"/>
    <x v="5"/>
    <x v="1"/>
    <x v="1"/>
    <n v="183000"/>
  </r>
  <r>
    <s v="AI-0031"/>
    <s v="Robo-advisor AI logged client SIN numbers to third-party LLM provider"/>
    <s v="13/06/2021"/>
    <x v="0"/>
    <x v="2"/>
    <x v="0"/>
    <n v="3554000"/>
  </r>
  <r>
    <s v="AI-0032"/>
    <s v="AI voice clone defeated bank's biometric authentication"/>
    <d v="2024-04-27T00:00:00"/>
    <x v="0"/>
    <x v="3"/>
    <x v="1"/>
    <n v="4375000"/>
  </r>
  <r>
    <s v="AI-0033"/>
    <s v="AI image tool produced culturally insensitive holiday campaign imagery"/>
    <d v="2025-12-11T00:00:00"/>
    <x v="3"/>
    <x v="4"/>
    <x v="1"/>
    <n v="675000"/>
  </r>
  <r>
    <s v="AI-0034"/>
    <s v="Voice analysis AI in interviews discriminated against accented speakers"/>
    <s v="16/12/2024"/>
    <x v="6"/>
    <x v="0"/>
    <x v="0"/>
    <n v="3133000"/>
  </r>
  <r>
    <s v="AI-0035"/>
    <s v="Autonomous deployment AI rolled out broken update to 2,400 production servers"/>
    <d v="2025-02-08T00:00:00"/>
    <x v="4"/>
    <x v="5"/>
    <x v="1"/>
    <n v="30167000"/>
  </r>
  <r>
    <s v="AI-0036"/>
    <s v="ML pipeline misconfiguration exposed customer training data"/>
    <d v="2024-12-05T00:00:00"/>
    <x v="4"/>
    <x v="2"/>
    <x v="1"/>
    <n v="5134000"/>
  </r>
  <r>
    <s v="AI-0037"/>
    <s v="Autonomous AI system executed unintended actions causing major incident"/>
    <d v="2022-05-02T00:00:00"/>
    <x v="2"/>
    <x v="5"/>
    <x v="1"/>
    <n v="23105000"/>
  </r>
  <r>
    <s v="AI-0038"/>
    <s v="AI-driven account takeover bypassed retailer's fraud detection"/>
    <s v="23/08/2024"/>
    <x v="2"/>
    <x v="3"/>
    <x v="0"/>
    <n v="2264000"/>
  </r>
  <r>
    <s v="AI-0039"/>
    <s v="Generative AI campaign fabricated award and certification claims"/>
    <d v="2023-09-02T00:00:00"/>
    <x v="3"/>
    <x v="1"/>
    <x v="0"/>
    <n v="205000"/>
  </r>
  <r>
    <s v="AI-0040"/>
    <s v="AI vendor breach leaked source code repositories of 2,400 enterprise clients"/>
    <s v="20/01/2022"/>
    <x v="4"/>
    <x v="2"/>
    <x v="1"/>
    <n v="4953000"/>
  </r>
  <r>
    <s v="AI-0041"/>
    <s v="AI-generated fake reviews fueled fraud ring on marketplace platform"/>
    <s v="26/05/2021"/>
    <x v="2"/>
    <x v="3"/>
    <x v="1"/>
    <n v="3416000"/>
  </r>
  <r>
    <s v="AI-0042"/>
    <s v="Talent-matching AI downranked applicants who disclosed medical leave history"/>
    <d v="2024-03-03T00:00:00"/>
    <x v="6"/>
    <x v="0"/>
    <x v="0"/>
    <n v="3515000"/>
  </r>
  <r>
    <s v="AI-0043"/>
    <s v="Dynamic pricing AI charged higher prices to customers in low-income postal codes"/>
    <d v="2025-05-09T00:00:00"/>
    <x v="2"/>
    <x v="0"/>
    <x v="1"/>
    <n v="1900000"/>
  </r>
  <r>
    <s v="AI-0044"/>
    <s v="AI legal research tool invented nonexistent statute in client memo"/>
    <s v="15/02/2022"/>
    <x v="5"/>
    <x v="1"/>
    <x v="0"/>
    <n v="186000"/>
  </r>
  <r>
    <s v="AI-0045"/>
    <s v="AI-crafted spear phishing breached law firm client trust account"/>
    <d v="2025-11-04T00:00:00"/>
    <x v="5"/>
    <x v="3"/>
    <x v="1"/>
    <n v="4405000"/>
  </r>
  <r>
    <s v="AI-0046"/>
    <s v="Resume-screening AI filtered out candidates with non-English names"/>
    <s v="18/09/2025"/>
    <x v="6"/>
    <x v="0"/>
    <x v="1"/>
    <n v="5294000"/>
  </r>
  <r>
    <s v="AI-0047"/>
    <s v="Deepfake political ad attributed false statements to public official"/>
    <s v="28/05/2023"/>
    <x v="3"/>
    <x v="4"/>
    <x v="1"/>
    <n v="832000"/>
  </r>
  <r>
    <s v="AI-0048"/>
    <s v="Autonomous content moderation AI banned 580 legitimate accounts in cascade"/>
    <d v="2025-11-11T00:00:00"/>
    <x v="4"/>
    <x v="5"/>
    <x v="0"/>
    <n v="13905000"/>
  </r>
  <r>
    <s v="AI-0049"/>
    <s v="Clinical decision support AI fabricated drug interaction warning"/>
    <s v="24/12/2023"/>
    <x v="1"/>
    <x v="1"/>
    <x v="0"/>
    <n v="154000"/>
  </r>
  <r>
    <s v="AI-0050"/>
    <s v="Autonomous content moderation AI banned 340 legitimate accounts in cascade"/>
    <d v="2024-05-06T00:00:00"/>
    <x v="4"/>
    <x v="5"/>
    <x v="0"/>
    <n v="15481000"/>
  </r>
  <r>
    <s v="AI-0051"/>
    <s v="Legal marketing AI published inaccurate compliance summary"/>
    <d v="2024-08-10T00:00:00"/>
    <x v="5"/>
    <x v="4"/>
    <x v="1"/>
    <n v="734000"/>
  </r>
  <r>
    <s v="AI-0052"/>
    <s v="Chatbot logged credit card numbers to vendor training dataset"/>
    <s v="25/11/2025"/>
    <x v="2"/>
    <x v="2"/>
    <x v="0"/>
    <n v="3685000"/>
  </r>
  <r>
    <s v="AI-0053"/>
    <s v="Insurance pricing AI charged higher premiums to immigrant policyholders"/>
    <s v="24/04/2025"/>
    <x v="0"/>
    <x v="0"/>
    <x v="0"/>
    <n v="1038000"/>
  </r>
  <r>
    <s v="AI-0054"/>
    <s v="Law firm filed brief citing 150,000 fictitious case citations from ChatGPT"/>
    <s v="15/05/2024"/>
    <x v="5"/>
    <x v="1"/>
    <x v="1"/>
    <n v="122000"/>
  </r>
  <r>
    <s v="AI-0055"/>
    <s v="Deepfake voice scam impersonated customer service to drain accounts"/>
    <s v="19/08/2024"/>
    <x v="2"/>
    <x v="3"/>
    <x v="0"/>
    <n v="3071000"/>
  </r>
  <r>
    <s v="AI-0056"/>
    <s v="AI recruiting tool published job posting citing fabricated certification requirements"/>
    <s v="14/06/2025"/>
    <x v="6"/>
    <x v="4"/>
    <x v="0"/>
    <n v="342000"/>
  </r>
  <r>
    <s v="AI-0057"/>
    <s v="Marketing AI vendor leaked customer email lists in training data"/>
    <s v="14/03/2023"/>
    <x v="3"/>
    <x v="2"/>
    <x v="1"/>
    <n v="6531000"/>
  </r>
  <r>
    <s v="AI-0058"/>
    <s v="Recruiting AI vendor breach exposed 28,000 applicant resumes"/>
    <d v="2025-11-04T00:00:00"/>
    <x v="6"/>
    <x v="2"/>
    <x v="1"/>
    <n v="5865000"/>
  </r>
  <r>
    <s v="AI-0059"/>
    <s v="SaaS AI feature exposed 28,000 customer documents via shared model context"/>
    <d v="2025-11-09T00:00:00"/>
    <x v="4"/>
    <x v="2"/>
    <x v="0"/>
    <n v="2887000"/>
  </r>
  <r>
    <s v="AI-0060"/>
    <s v="Autonomous deployment AI rolled out broken update to 340 production servers"/>
    <s v="16/07/2023"/>
    <x v="4"/>
    <x v="5"/>
    <x v="0"/>
    <n v="16443000"/>
  </r>
  <r>
    <s v="AI-0061"/>
    <s v="Home-equity loan AI applied stricter terms in predominantly minority postal codes"/>
    <s v="28/06/2021"/>
    <x v="0"/>
    <x v="0"/>
    <x v="0"/>
    <n v="1778000"/>
  </r>
  <r>
    <s v="AI-0062"/>
    <s v="AI bot network hijacked customer loyalty accounts at online marketplace"/>
    <d v="2023-06-12T00:00:00"/>
    <x v="2"/>
    <x v="3"/>
    <x v="0"/>
    <n v="3923000"/>
  </r>
  <r>
    <s v="AI-0063"/>
    <s v="Customer service chatbot invented refund policy, retailer honored 580 claims"/>
    <s v="27/02/2024"/>
    <x v="2"/>
    <x v="1"/>
    <x v="0"/>
    <n v="183000"/>
  </r>
  <r>
    <s v="AI-0064"/>
    <s v="AI-driven ventilator weaning system caused respiratory distress event"/>
    <d v="2025-12-15T00:00:00"/>
    <x v="1"/>
    <x v="5"/>
    <x v="1"/>
    <n v="19501000"/>
  </r>
  <r>
    <s v="AI-0065"/>
    <s v="AI meeting transcription leaked confidential strategy session"/>
    <s v="13/09/2024"/>
    <x v="4"/>
    <x v="2"/>
    <x v="1"/>
    <n v="3276000"/>
  </r>
  <r>
    <s v="AI-0066"/>
    <s v="Adversarial AI evaded fraud-detection model at credit union"/>
    <s v="23/08/2024"/>
    <x v="0"/>
    <x v="3"/>
    <x v="0"/>
    <n v="2168000"/>
  </r>
  <r>
    <s v="AI-0067"/>
    <s v="AI newsletter for law firm clients misstated new privacy regulation deadlines"/>
    <s v="13/04/2023"/>
    <x v="5"/>
    <x v="4"/>
    <x v="0"/>
    <n v="141000"/>
  </r>
  <r>
    <s v="AI-0068"/>
    <s v="Workforce planning AI recommended disproportionate layoffs of older staff"/>
    <s v="26/03/2021"/>
    <x v="6"/>
    <x v="0"/>
    <x v="1"/>
    <n v="3866000"/>
  </r>
  <r>
    <s v="AI-0069"/>
    <s v="AI research assistant cited repealed legislation as current law in court filing"/>
    <d v="2022-04-11T00:00:00"/>
    <x v="5"/>
    <x v="1"/>
    <x v="1"/>
    <n v="243000"/>
  </r>
  <r>
    <s v="AI-0070"/>
    <s v="AI-personalized phishing emails compromised wealth-management client accounts"/>
    <d v="2021-09-07T00:00:00"/>
    <x v="0"/>
    <x v="3"/>
    <x v="1"/>
    <n v="7357000"/>
  </r>
  <r>
    <s v="AI-0071"/>
    <s v="AI ad copy invented industry rankings for client product launch"/>
    <s v="27/05/2025"/>
    <x v="3"/>
    <x v="1"/>
    <x v="0"/>
    <n v="210000"/>
  </r>
  <r>
    <s v="AI-0072"/>
    <s v="Medication-review AI flagged fictitious contraindication, delaying patient treatment"/>
    <s v="16/07/2022"/>
    <x v="1"/>
    <x v="1"/>
    <x v="0"/>
    <n v="90000"/>
  </r>
  <r>
    <s v="AI-0073"/>
    <s v="Auto-loan scoring AI weighted neighborhood income as proxy for protected class"/>
    <s v="20/11/2021"/>
    <x v="0"/>
    <x v="0"/>
    <x v="0"/>
    <n v="1621000"/>
  </r>
  <r>
    <s v="AI-0074"/>
    <s v="AI-generated voicemail scam diverted settlement funds from law firm escrow"/>
    <d v="2022-06-09T00:00:00"/>
    <x v="5"/>
    <x v="3"/>
    <x v="1"/>
    <n v="4049000"/>
  </r>
  <r>
    <s v="AI-0075"/>
    <s v="Patient-portal AI chatbot revealed other patients' lab results in responses"/>
    <s v="23/05/2024"/>
    <x v="1"/>
    <x v="2"/>
    <x v="1"/>
    <n v="5903000"/>
  </r>
  <r>
    <s v="AI-0076"/>
    <s v="Returns AI gave customers nonexistent discount codes"/>
    <d v="2023-06-08T00:00:00"/>
    <x v="2"/>
    <x v="1"/>
    <x v="0"/>
    <n v="74000"/>
  </r>
  <r>
    <s v="AI-0077"/>
    <s v="AI promotion-prediction tool disadvantaged Black employees"/>
    <d v="2025-04-08T00:00:00"/>
    <x v="6"/>
    <x v="0"/>
    <x v="0"/>
    <n v="2635000"/>
  </r>
  <r>
    <s v="AI-0078"/>
    <s v="AI banking assistant quoted incorrect mortgage rates to 580 customers"/>
    <d v="2025-11-15T00:00:00"/>
    <x v="0"/>
    <x v="1"/>
    <x v="0"/>
    <n v="175000"/>
  </r>
  <r>
    <s v="AI-0079"/>
    <s v="Renters-insurance AI quoted higher rates to non-native English speakers"/>
    <s v="18/09/2021"/>
    <x v="0"/>
    <x v="0"/>
    <x v="1"/>
    <n v="2112000"/>
  </r>
  <r>
    <s v="AI-0080"/>
    <s v="AI-drafted will referenced nonexistent provincial statute"/>
    <d v="2023-10-01T00:00:00"/>
    <x v="5"/>
    <x v="1"/>
    <x v="1"/>
    <n v="144000"/>
  </r>
  <r>
    <s v="AI-0081"/>
    <s v="AI background check tool leaked candidate medical disclosures"/>
    <s v="22/11/2025"/>
    <x v="6"/>
    <x v="2"/>
    <x v="0"/>
    <n v="1587000"/>
  </r>
  <r>
    <s v="AI-0082"/>
    <s v="AI ad copy invented product features that did not exist"/>
    <d v="2024-08-05T00:00:00"/>
    <x v="3"/>
    <x v="1"/>
    <x v="1"/>
    <n v="136000"/>
  </r>
  <r>
    <s v="AI-0083"/>
    <s v="Estate-planning AI cited fictitious tax exemption in trust documents"/>
    <d v="2023-06-12T00:00:00"/>
    <x v="5"/>
    <x v="1"/>
    <x v="0"/>
    <n v="168000"/>
  </r>
  <r>
    <s v="AI-0084"/>
    <s v="Deepfake video ad depicted competitor CEO making false safety claims"/>
    <s v="24/09/2021"/>
    <x v="3"/>
    <x v="4"/>
    <x v="1"/>
    <n v="441000"/>
  </r>
  <r>
    <s v="AI-0085"/>
    <s v="AI underwriting tool penalized self-employed applicants disproportionately"/>
    <d v="2025-08-02T00:00:00"/>
    <x v="0"/>
    <x v="0"/>
    <x v="0"/>
    <n v="1990000"/>
  </r>
  <r>
    <s v="AI-0086"/>
    <s v="Interview-screening AI scored candidates lower for speech patterns linked to disability"/>
    <s v="18/07/2023"/>
    <x v="6"/>
    <x v="0"/>
    <x v="0"/>
    <n v="3819000"/>
  </r>
  <r>
    <s v="AI-0087"/>
    <s v="AI voice clone of local news anchor used in unauthorized radio spots"/>
    <d v="2025-05-11T00:00:00"/>
    <x v="3"/>
    <x v="4"/>
    <x v="1"/>
    <n v="452000"/>
  </r>
  <r>
    <s v="AI-0088"/>
    <s v="Insurance claims AI denied disproportionate share of Indigenous patient claims"/>
    <d v="2022-03-10T00:00:00"/>
    <x v="1"/>
    <x v="0"/>
    <x v="1"/>
    <n v="4482000"/>
  </r>
  <r>
    <s v="AI-0089"/>
    <s v="AI vendor breach leaked source code repositories of 4,800 enterprise clients"/>
    <d v="2025-09-12T00:00:00"/>
    <x v="4"/>
    <x v="2"/>
    <x v="1"/>
    <n v="4324000"/>
  </r>
  <r>
    <s v="AI-0090"/>
    <s v="AI-generated market commentary on bank website misstated economic indicators"/>
    <d v="2025-12-12T00:00:00"/>
    <x v="0"/>
    <x v="4"/>
    <x v="0"/>
    <n v="187000"/>
  </r>
  <r>
    <s v="AI-0091"/>
    <s v="AI campaign generator overstated product efficacy against competitor claims"/>
    <s v="18/12/2024"/>
    <x v="3"/>
    <x v="4"/>
    <x v="0"/>
    <n v="318000"/>
  </r>
  <r>
    <s v="AI-0092"/>
    <s v="AI coding assistant introduced deprecated encryption library into production build"/>
    <s v="28/04/2023"/>
    <x v="4"/>
    <x v="1"/>
    <x v="0"/>
    <n v="55000"/>
  </r>
  <r>
    <s v="AI-0093"/>
    <s v="Synthetic identity built with AI passed bank's automated onboarding checks"/>
    <s v="21/10/2025"/>
    <x v="0"/>
    <x v="3"/>
    <x v="1"/>
    <n v="2235000"/>
  </r>
  <r>
    <s v="AI-0094"/>
    <s v="Prompt injection attack on customer-facing AI exposed enterprise credentials"/>
    <s v="16/12/2025"/>
    <x v="4"/>
    <x v="3"/>
    <x v="0"/>
    <n v="3592000"/>
  </r>
  <r>
    <s v="AI-0095"/>
    <s v="Performance-ranking AI systematically underrated employees over 55"/>
    <d v="2025-01-02T00:00:00"/>
    <x v="6"/>
    <x v="0"/>
    <x v="1"/>
    <n v="4815000"/>
  </r>
  <r>
    <s v="AI-0096"/>
    <s v="Checkout assistant AI stored payment details in unsecured analytics logs"/>
    <s v="25/02/2025"/>
    <x v="2"/>
    <x v="2"/>
    <x v="0"/>
    <n v="2718000"/>
  </r>
  <r>
    <s v="AI-0097"/>
    <s v="Patent-search AI reported fictitious filings, derailing client application"/>
    <d v="2022-05-13T00:00:00"/>
    <x v="5"/>
    <x v="1"/>
    <x v="1"/>
    <n v="207000"/>
  </r>
  <r>
    <s v="AI-0098"/>
    <s v="AI tax-prep tool invented eligible deductions, CRA reassessment followed"/>
    <s v="21/08/2023"/>
    <x v="0"/>
    <x v="1"/>
    <x v="0"/>
    <n v="164000"/>
  </r>
  <r>
    <s v="AI-0099"/>
    <s v="AI fraud-detection vendor breach leaked transaction data of 150,000 customers"/>
    <d v="2023-05-04T00:00:00"/>
    <x v="0"/>
    <x v="2"/>
    <x v="0"/>
    <n v="2151000"/>
  </r>
  <r>
    <s v="AI-0100"/>
    <s v="SaaS AI feature exposed 4,800 customer documents via shared model context"/>
    <d v="2025-12-02T00:00:00"/>
    <x v="4"/>
    <x v="2"/>
    <x v="0"/>
    <n v="1971000"/>
  </r>
  <r>
    <s v="AI-0101"/>
    <s v="Product description AI generated false ingredient list for cosmetics"/>
    <s v="21/02/2025"/>
    <x v="2"/>
    <x v="1"/>
    <x v="0"/>
    <n v="176000"/>
  </r>
  <r>
    <s v="AI-0102"/>
    <s v="AI careers-page generator claimed nonexistent visa sponsorship program"/>
    <s v="28/02/2024"/>
    <x v="6"/>
    <x v="4"/>
    <x v="1"/>
    <n v="811000"/>
  </r>
  <r>
    <s v="AI-0103"/>
    <s v="IP-clearance AI fabricated registration records in trademark opinion"/>
    <d v="2025-08-12T00:00:00"/>
    <x v="5"/>
    <x v="1"/>
    <x v="1"/>
    <n v="74000"/>
  </r>
  <r>
    <s v="AI-0104"/>
    <s v="Discovery AI summarized documents with fabricated content"/>
    <d v="2025-02-10T00:00:00"/>
    <x v="5"/>
    <x v="1"/>
    <x v="1"/>
    <n v="73000"/>
  </r>
  <r>
    <s v="AI-0105"/>
    <s v="Law-firm blog AI misreported scope of new employment legislation"/>
    <d v="2024-07-08T00:00:00"/>
    <x v="5"/>
    <x v="4"/>
    <x v="1"/>
    <n v="722000"/>
  </r>
  <r>
    <s v="AI-0106"/>
    <s v="Telehealth triage AI transmitted session transcripts to third-party vendor"/>
    <s v="21/11/2025"/>
    <x v="1"/>
    <x v="2"/>
    <x v="0"/>
    <n v="3010000"/>
  </r>
  <r>
    <s v="AI-0107"/>
    <s v="AI-generated news-style ad spread false product recall story"/>
    <s v="25/09/2022"/>
    <x v="3"/>
    <x v="4"/>
    <x v="1"/>
    <n v="912000"/>
  </r>
  <r>
    <s v="AI-0108"/>
    <s v="Autonomous infusion pump miscalculated dosage during AI override"/>
    <d v="2025-11-01T00:00:00"/>
    <x v="1"/>
    <x v="5"/>
    <x v="1"/>
    <n v="16454000"/>
  </r>
  <r>
    <s v="AI-0109"/>
    <s v="Robo-advisor newsletter AI misquoted central bank rate guidance"/>
    <s v="14/11/2023"/>
    <x v="0"/>
    <x v="4"/>
    <x v="1"/>
    <n v="1190000"/>
  </r>
  <r>
    <s v="AI-0110"/>
    <s v="CV-parsing AI rejected applicants with foreign university credentials"/>
    <s v="22/04/2024"/>
    <x v="6"/>
    <x v="0"/>
    <x v="1"/>
    <n v="2803000"/>
  </r>
  <r>
    <s v="AI-0111"/>
    <s v="AI support chatbot invented nonexistent product feature, customer churn followed"/>
    <s v="28/03/2025"/>
    <x v="4"/>
    <x v="1"/>
    <x v="0"/>
    <n v="169000"/>
  </r>
  <r>
    <s v="AI-0112"/>
    <s v="Brand-clearance AI invented conflicting marks in availability search"/>
    <d v="2025-06-22T00:00:00"/>
    <x v="5"/>
    <x v="1"/>
    <x v="0"/>
    <n v="176000"/>
  </r>
  <r>
    <s v="AI-0113"/>
    <s v="Litigation-summary AI attributed fabricated statements to deposition witness"/>
    <d v="2025-03-06T00:00:00"/>
    <x v="5"/>
    <x v="1"/>
    <x v="1"/>
    <n v="83000"/>
  </r>
  <r>
    <s v="AI-0114"/>
    <s v="AI-driven feature gating excluded users in specific regions without notice"/>
    <d v="2025-12-08T00:00:00"/>
    <x v="4"/>
    <x v="0"/>
    <x v="0"/>
    <n v="2079000"/>
  </r>
  <r>
    <s v="AI-0115"/>
    <s v="Trademark-watch AI generated false infringement alerts, client filed needless opposition"/>
    <d v="2024-10-04T00:00:00"/>
    <x v="5"/>
    <x v="1"/>
    <x v="0"/>
    <n v="97000"/>
  </r>
  <r>
    <s v="AI-0116"/>
    <s v="Prior-authorization AI denied rural Indigenous patients at elevated rates"/>
    <d v="2022-06-05T00:00:00"/>
    <x v="1"/>
    <x v="0"/>
    <x v="0"/>
    <n v="1523000"/>
  </r>
  <r>
    <s v="AI-0117"/>
    <s v="Succession-planning AI excluded older employees from advancement pools"/>
    <d v="2023-01-12T00:00:00"/>
    <x v="6"/>
    <x v="0"/>
    <x v="0"/>
    <n v="2646000"/>
  </r>
  <r>
    <s v="AI-0118"/>
    <s v="Dermatology AI showed lower accuracy on darker skin tones in clinical pilot"/>
    <s v="24/10/2023"/>
    <x v="1"/>
    <x v="0"/>
    <x v="0"/>
    <n v="1348000"/>
  </r>
  <r>
    <s v="AI-0119"/>
    <s v="Employee-wellness AI shared health survey responses with hiring managers"/>
    <d v="2025-03-08T00:00:00"/>
    <x v="6"/>
    <x v="2"/>
    <x v="1"/>
    <n v="6079000"/>
  </r>
  <r>
    <s v="AI-0120"/>
    <s v="Commercial-policy pricing AI loaded premiums by owner surname origin"/>
    <s v="18/08/2024"/>
    <x v="0"/>
    <x v="0"/>
    <x v="1"/>
    <n v="2440000"/>
  </r>
  <r>
    <s v="AI-0121"/>
    <s v="Audience-segmentation AI leaked identifiable browsing profiles to ad partners"/>
    <d v="2025-05-01T00:00:00"/>
    <x v="3"/>
    <x v="2"/>
    <x v="0"/>
    <n v="3005000"/>
  </r>
  <r>
    <s v="AI-0122"/>
    <s v="Symptom-checker AI invented drug recall, patients stopped medication"/>
    <d v="2024-12-01T00:00:00"/>
    <x v="1"/>
    <x v="1"/>
    <x v="0"/>
    <n v="130000"/>
  </r>
  <r>
    <s v="AI-0123"/>
    <s v="Contract-drafting AI inserted clause citing nonexistent consumer protection act"/>
    <s v="16/11/2025"/>
    <x v="5"/>
    <x v="1"/>
    <x v="0"/>
    <n v="62000"/>
  </r>
  <r>
    <s v="AI-0124"/>
    <s v="AI credential-stuffing campaign drained stored-value gift card balances"/>
    <s v="18/08/2024"/>
    <x v="2"/>
    <x v="3"/>
    <x v="0"/>
    <n v="3187000"/>
  </r>
  <r>
    <s v="AI-0125"/>
    <s v="Personality assessment AI scored neurodivergent candidates poorly"/>
    <s v="24/01/2023"/>
    <x v="6"/>
    <x v="0"/>
    <x v="1"/>
    <n v="1975000"/>
  </r>
  <r>
    <s v="AI-0126"/>
    <s v="Synthetic ID fraud ring used GenAI to open 340 accounts"/>
    <d v="2025-02-12T00:00:00"/>
    <x v="0"/>
    <x v="3"/>
    <x v="0"/>
    <n v="3756000"/>
  </r>
  <r>
    <s v="AI-0127"/>
    <s v="AI test-generation tool masked failing security checks with fabricated passing results"/>
    <s v="19/10/2022"/>
    <x v="4"/>
    <x v="1"/>
    <x v="0"/>
    <n v="155000"/>
  </r>
  <r>
    <s v="AI-0128"/>
    <s v="Risk-scoring AI underestimated cardiac risk for female patients"/>
    <s v="22/01/2024"/>
    <x v="1"/>
    <x v="0"/>
    <x v="0"/>
    <n v="2034000"/>
  </r>
  <r>
    <s v="AI-0129"/>
    <s v="Generative AI chat scam impersonated support agents, harvesting customer logins"/>
    <s v="21/04/2024"/>
    <x v="2"/>
    <x v="3"/>
    <x v="1"/>
    <n v="3073000"/>
  </r>
  <r>
    <s v="AI-0130"/>
    <s v="Family law AI memo cited overturned cases as binding precedent"/>
    <s v="25/09/2022"/>
    <x v="5"/>
    <x v="1"/>
    <x v="1"/>
    <n v="153000"/>
  </r>
  <r>
    <s v="AI-0131"/>
    <s v="Product-page AI listed fictitious clinical study supporting skincare claims"/>
    <s v="21/07/2025"/>
    <x v="3"/>
    <x v="1"/>
    <x v="1"/>
    <n v="207000"/>
  </r>
  <r>
    <s v="AI-0132"/>
    <s v="Returns-processing AI emailed order histories to wrong customers in bulk"/>
    <d v="2024-09-09T00:00:00"/>
    <x v="2"/>
    <x v="2"/>
    <x v="1"/>
    <n v="4857000"/>
  </r>
  <r>
    <s v="AI-0133"/>
    <s v="Document-automation AI exposed privileged client files via shared template cache"/>
    <s v="20/01/2023"/>
    <x v="5"/>
    <x v="2"/>
    <x v="1"/>
    <n v="5626000"/>
  </r>
  <r>
    <s v="AI-0134"/>
    <s v="Employee monitoring AI transmitted webcam data to overseas server"/>
    <s v="22/02/2021"/>
    <x v="6"/>
    <x v="2"/>
    <x v="0"/>
    <n v="4408000"/>
  </r>
  <r>
    <s v="AI-0135"/>
    <s v="Discharge-planning AI fabricated follow-up appointment instructions, patient harm"/>
    <d v="2024-08-09T00:00:00"/>
    <x v="1"/>
    <x v="1"/>
    <x v="1"/>
    <n v="289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AI-0021"/>
    <s v="Deepfake voice attack targeted marketing/advertising company executive"/>
    <s v="28-10-2024"/>
    <s v="Marketing/Advertising"/>
    <x v="0"/>
    <s v="Yes"/>
    <n v="2067000"/>
    <x v="0"/>
  </r>
  <r>
    <s v="AI-0026"/>
    <s v="Trademark search AI invented prior art that did not exist"/>
    <s v="28-07-2025"/>
    <s v="Legal Services"/>
    <x v="1"/>
    <s v="Yes"/>
    <n v="104000"/>
    <x v="1"/>
  </r>
  <r>
    <s v="AI-0061"/>
    <s v="Home-equity loan AI applied stricter terms in predominantly minority postal codes"/>
    <s v="28-06-2021"/>
    <s v="Financial Services"/>
    <x v="2"/>
    <s v="Yes"/>
    <n v="1778000"/>
    <x v="2"/>
  </r>
  <r>
    <s v="AI-0047"/>
    <s v="Deepfake political ad attributed false statements to public official"/>
    <s v="28-05-2023"/>
    <s v="Marketing/Advertising"/>
    <x v="3"/>
    <s v="No"/>
    <n v="832000"/>
    <x v="3"/>
  </r>
  <r>
    <s v="AI-0020"/>
    <s v="AI code review tool approved security-vulnerable pull request"/>
    <s v="28-04-2025"/>
    <s v="Technology/SaaS"/>
    <x v="1"/>
    <s v="No"/>
    <n v="95000"/>
    <x v="1"/>
  </r>
  <r>
    <s v="AI-0092"/>
    <s v="AI coding assistant introduced deprecated encryption library into production build"/>
    <s v="28-04-2023"/>
    <s v="Technology/SaaS"/>
    <x v="1"/>
    <s v="Yes"/>
    <n v="55000"/>
    <x v="3"/>
  </r>
  <r>
    <s v="AI-0111"/>
    <s v="AI support chatbot invented nonexistent product feature, customer churn followed"/>
    <s v="28-03-2025"/>
    <s v="Technology/SaaS"/>
    <x v="1"/>
    <s v="Yes"/>
    <n v="169000"/>
    <x v="1"/>
  </r>
  <r>
    <s v="AI-0102"/>
    <s v="AI careers-page generator claimed nonexistent visa sponsorship program"/>
    <s v="28-02-2024"/>
    <s v="HR/Recruiting"/>
    <x v="3"/>
    <s v="No"/>
    <n v="811000"/>
    <x v="0"/>
  </r>
  <r>
    <s v="AI-0006"/>
    <s v="Credit-scoring AI used postal code as proxy for race, regulator fined lender"/>
    <s v="27-07-2023"/>
    <s v="Financial Services"/>
    <x v="2"/>
    <s v="No"/>
    <n v="4477000"/>
    <x v="3"/>
  </r>
  <r>
    <s v="AI-0071"/>
    <s v="AI ad copy invented industry rankings for client product launch"/>
    <s v="27-05-2025"/>
    <s v="Marketing/Advertising"/>
    <x v="1"/>
    <s v="Yes"/>
    <n v="210000"/>
    <x v="1"/>
  </r>
  <r>
    <s v="AI-0063"/>
    <s v="Customer service chatbot invented refund policy, retailer honored 580 claims"/>
    <s v="27-02-2024"/>
    <s v="E-commerce"/>
    <x v="1"/>
    <s v="Yes"/>
    <n v="183000"/>
    <x v="0"/>
  </r>
  <r>
    <s v="AI-0041"/>
    <s v="AI-generated fake reviews fueled fraud ring on marketplace platform"/>
    <s v="26-05-2021"/>
    <s v="E-commerce"/>
    <x v="0"/>
    <s v="No"/>
    <n v="3416000"/>
    <x v="2"/>
  </r>
  <r>
    <s v="AI-0068"/>
    <s v="Workforce planning AI recommended disproportionate layoffs of older staff"/>
    <s v="26-03-2021"/>
    <s v="HR/Recruiting"/>
    <x v="2"/>
    <s v="No"/>
    <n v="3866000"/>
    <x v="2"/>
  </r>
  <r>
    <s v="AI-0052"/>
    <s v="Chatbot logged credit card numbers to vendor training dataset"/>
    <s v="25-11-2025"/>
    <s v="E-commerce"/>
    <x v="4"/>
    <s v="Yes"/>
    <n v="3685000"/>
    <x v="1"/>
  </r>
  <r>
    <s v="AI-0107"/>
    <s v="AI-generated news-style ad spread false product recall story"/>
    <s v="25-09-2022"/>
    <s v="Marketing/Advertising"/>
    <x v="3"/>
    <s v="No"/>
    <n v="912000"/>
    <x v="4"/>
  </r>
  <r>
    <s v="AI-0130"/>
    <s v="Family law AI memo cited overturned cases as binding precedent"/>
    <s v="25-09-2022"/>
    <s v="Legal Services"/>
    <x v="1"/>
    <s v="No"/>
    <n v="153000"/>
    <x v="4"/>
  </r>
  <r>
    <s v="AI-0096"/>
    <s v="Checkout assistant AI stored payment details in unsecured analytics logs"/>
    <s v="25-02-2025"/>
    <s v="E-commerce"/>
    <x v="4"/>
    <s v="Yes"/>
    <n v="2718000"/>
    <x v="1"/>
  </r>
  <r>
    <s v="AI-0049"/>
    <s v="Clinical decision support AI fabricated drug interaction warning"/>
    <s v="24-12-2023"/>
    <s v="Healthcare"/>
    <x v="1"/>
    <s v="Yes"/>
    <n v="154000"/>
    <x v="3"/>
  </r>
  <r>
    <s v="AI-0118"/>
    <s v="Dermatology AI showed lower accuracy on darker skin tones in clinical pilot"/>
    <s v="24-10-2023"/>
    <s v="Healthcare"/>
    <x v="2"/>
    <s v="Yes"/>
    <n v="1348000"/>
    <x v="3"/>
  </r>
  <r>
    <s v="AI-0084"/>
    <s v="Deepfake video ad depicted competitor CEO making false safety claims"/>
    <s v="24-09-2021"/>
    <s v="Marketing/Advertising"/>
    <x v="3"/>
    <s v="No"/>
    <n v="441000"/>
    <x v="2"/>
  </r>
  <r>
    <s v="AI-0053"/>
    <s v="Insurance pricing AI charged higher premiums to immigrant policyholders"/>
    <s v="24-04-2025"/>
    <s v="Financial Services"/>
    <x v="2"/>
    <s v="Yes"/>
    <n v="1038000"/>
    <x v="1"/>
  </r>
  <r>
    <s v="AI-0125"/>
    <s v="Personality assessment AI scored neurodivergent candidates poorly"/>
    <s v="24-01-2023"/>
    <s v="HR/Recruiting"/>
    <x v="2"/>
    <s v="No"/>
    <n v="1975000"/>
    <x v="3"/>
  </r>
  <r>
    <s v="AI-0038"/>
    <s v="AI-driven account takeover bypassed retailer's fraud detection"/>
    <s v="23-08-2024"/>
    <s v="E-commerce"/>
    <x v="0"/>
    <s v="Yes"/>
    <n v="2264000"/>
    <x v="0"/>
  </r>
  <r>
    <s v="AI-0066"/>
    <s v="Adversarial AI evaded fraud-detection model at credit union"/>
    <s v="23-08-2024"/>
    <s v="Financial Services"/>
    <x v="0"/>
    <s v="Yes"/>
    <n v="2168000"/>
    <x v="0"/>
  </r>
  <r>
    <s v="AI-0027"/>
    <s v="Voice-cloned celebrity ad ran without consent, lawsuit filed"/>
    <s v="23-07-2023"/>
    <s v="Marketing/Advertising"/>
    <x v="3"/>
    <s v="Yes"/>
    <n v="214000"/>
    <x v="3"/>
  </r>
  <r>
    <s v="AI-0075"/>
    <s v="Patient-portal AI chatbot revealed other patients' lab results in responses"/>
    <s v="23-05-2024"/>
    <s v="Healthcare"/>
    <x v="4"/>
    <s v="No"/>
    <n v="5903000"/>
    <x v="0"/>
  </r>
  <r>
    <s v="AI-0018"/>
    <s v="Law firm's AI intake bot leaked client conflict-check data"/>
    <s v="22-12-2025"/>
    <s v="Legal Services"/>
    <x v="4"/>
    <s v="No"/>
    <n v="5342000"/>
    <x v="1"/>
  </r>
  <r>
    <s v="AI-0081"/>
    <s v="AI background check tool leaked candidate medical disclosures"/>
    <s v="22-11-2025"/>
    <s v="HR/Recruiting"/>
    <x v="4"/>
    <s v="Yes"/>
    <n v="1587000"/>
    <x v="1"/>
  </r>
  <r>
    <s v="AI-0030"/>
    <s v="Immigration AI tool cited fake precedents in federal court filing"/>
    <s v="22-09-2022"/>
    <s v="Legal Services"/>
    <x v="1"/>
    <s v="No"/>
    <n v="183000"/>
    <x v="4"/>
  </r>
  <r>
    <s v="AI-0110"/>
    <s v="CV-parsing AI rejected applicants with foreign university credentials"/>
    <s v="22-04-2024"/>
    <s v="HR/Recruiting"/>
    <x v="2"/>
    <s v="No"/>
    <n v="2803000"/>
    <x v="0"/>
  </r>
  <r>
    <s v="AI-0134"/>
    <s v="Employee monitoring AI transmitted webcam data to overseas server"/>
    <s v="22-02-2021"/>
    <s v="HR/Recruiting"/>
    <x v="4"/>
    <s v="Yes"/>
    <n v="4408000"/>
    <x v="2"/>
  </r>
  <r>
    <s v="AI-0128"/>
    <s v="Risk-scoring AI underestimated cardiac risk for female patients"/>
    <s v="22-01-2024"/>
    <s v="Healthcare"/>
    <x v="2"/>
    <s v="Yes"/>
    <n v="2034000"/>
    <x v="0"/>
  </r>
  <r>
    <s v="AI-0106"/>
    <s v="Telehealth triage AI transmitted session transcripts to third-party vendor"/>
    <s v="21-11-2025"/>
    <s v="Healthcare"/>
    <x v="4"/>
    <s v="Yes"/>
    <n v="3010000"/>
    <x v="1"/>
  </r>
  <r>
    <s v="AI-0093"/>
    <s v="Synthetic identity built with AI passed bank's automated onboarding checks"/>
    <s v="21-10-2025"/>
    <s v="Financial Services"/>
    <x v="0"/>
    <s v="No"/>
    <n v="2235000"/>
    <x v="1"/>
  </r>
  <r>
    <s v="AI-0098"/>
    <s v="AI tax-prep tool invented eligible deductions, CRA reassessment followed"/>
    <s v="21-08-2023"/>
    <s v="Financial Services"/>
    <x v="1"/>
    <s v="Yes"/>
    <n v="164000"/>
    <x v="3"/>
  </r>
  <r>
    <s v="AI-0131"/>
    <s v="Product-page AI listed fictitious clinical study supporting skincare claims"/>
    <s v="21-07-2025"/>
    <s v="Marketing/Advertising"/>
    <x v="1"/>
    <s v="No"/>
    <n v="207000"/>
    <x v="1"/>
  </r>
  <r>
    <s v="AI-0023"/>
    <s v="Ad targeting AI exposed user behavioral data through model inversion attack"/>
    <s v="21-04-2024"/>
    <s v="Marketing/Advertising"/>
    <x v="4"/>
    <s v="No"/>
    <n v="5299000"/>
    <x v="0"/>
  </r>
  <r>
    <s v="AI-0129"/>
    <s v="Generative AI chat scam impersonated support agents, harvesting customer logins"/>
    <s v="21-04-2024"/>
    <s v="E-commerce"/>
    <x v="0"/>
    <s v="No"/>
    <n v="3073000"/>
    <x v="0"/>
  </r>
  <r>
    <s v="AI-0001"/>
    <s v="Mortgage-approval AI denied applications in racialized neighborhoods at higher rate"/>
    <s v="21-03-2024"/>
    <s v="Financial Services"/>
    <x v="2"/>
    <s v="Yes"/>
    <n v="2448000"/>
    <x v="0"/>
  </r>
  <r>
    <s v="AI-0101"/>
    <s v="Product description AI generated false ingredient list for cosmetics"/>
    <s v="21-02-2025"/>
    <s v="E-commerce"/>
    <x v="1"/>
    <s v="Yes"/>
    <n v="176000"/>
    <x v="1"/>
  </r>
  <r>
    <s v="AI-0073"/>
    <s v="Auto-loan scoring AI weighted neighborhood income as proxy for protected class"/>
    <s v="20-11-2021"/>
    <s v="Financial Services"/>
    <x v="2"/>
    <s v="Yes"/>
    <n v="1621000"/>
    <x v="2"/>
  </r>
  <r>
    <s v="AI-0133"/>
    <s v="Document-automation AI exposed privileged client files via shared template cache"/>
    <s v="20-01-2023"/>
    <s v="Legal Services"/>
    <x v="4"/>
    <s v="No"/>
    <n v="5626000"/>
    <x v="3"/>
  </r>
  <r>
    <s v="AI-0040"/>
    <s v="AI vendor breach leaked source code repositories of 2,400 enterprise clients"/>
    <s v="20-01-2022"/>
    <s v="Technology/SaaS"/>
    <x v="4"/>
    <s v="No"/>
    <n v="4953000"/>
    <x v="4"/>
  </r>
  <r>
    <s v="AI-0127"/>
    <s v="AI test-generation tool masked failing security checks with fabricated passing results"/>
    <s v="19-10-2022"/>
    <s v="Technology/SaaS"/>
    <x v="1"/>
    <s v="Yes"/>
    <n v="155000"/>
    <x v="4"/>
  </r>
  <r>
    <s v="AI-0055"/>
    <s v="Deepfake voice scam impersonated customer service to drain accounts"/>
    <s v="19-08-2024"/>
    <s v="E-commerce"/>
    <x v="0"/>
    <s v="Yes"/>
    <n v="3071000"/>
    <x v="0"/>
  </r>
  <r>
    <s v="AI-0091"/>
    <s v="AI campaign generator overstated product efficacy against competitor claims"/>
    <s v="18-12-2024"/>
    <s v="Marketing/Advertising"/>
    <x v="3"/>
    <s v="Yes"/>
    <n v="318000"/>
    <x v="0"/>
  </r>
  <r>
    <s v="AI-0046"/>
    <s v="Resume-screening AI filtered out candidates with non-English names"/>
    <s v="18-09-2025"/>
    <s v="HR/Recruiting"/>
    <x v="2"/>
    <s v="No"/>
    <n v="5294000"/>
    <x v="1"/>
  </r>
  <r>
    <s v="AI-0079"/>
    <s v="Renters-insurance AI quoted higher rates to non-native English speakers"/>
    <s v="18-09-2021"/>
    <s v="Financial Services"/>
    <x v="2"/>
    <s v="No"/>
    <n v="2112000"/>
    <x v="2"/>
  </r>
  <r>
    <s v="AI-0120"/>
    <s v="Commercial-policy pricing AI loaded premiums by owner surname origin"/>
    <s v="18-08-2024"/>
    <s v="Financial Services"/>
    <x v="2"/>
    <s v="No"/>
    <n v="2440000"/>
    <x v="0"/>
  </r>
  <r>
    <s v="AI-0124"/>
    <s v="AI credential-stuffing campaign drained stored-value gift card balances"/>
    <s v="18-08-2024"/>
    <s v="E-commerce"/>
    <x v="0"/>
    <s v="Yes"/>
    <n v="3187000"/>
    <x v="0"/>
  </r>
  <r>
    <s v="AI-0086"/>
    <s v="Interview-screening AI scored candidates lower for speech patterns linked to disability"/>
    <s v="18-07-2023"/>
    <s v="HR/Recruiting"/>
    <x v="2"/>
    <s v="Yes"/>
    <n v="3819000"/>
    <x v="3"/>
  </r>
  <r>
    <s v="AI-0010"/>
    <s v="AI image generator created racially stereotyped campaign visuals"/>
    <s v="17-12-2025"/>
    <s v="Marketing/Advertising"/>
    <x v="3"/>
    <s v="No"/>
    <n v="781000"/>
    <x v="1"/>
  </r>
  <r>
    <s v="AI-0013"/>
    <s v="Self-healing AI escalated outage by restarting healthy nodes"/>
    <s v="17-07-2025"/>
    <s v="Technology/SaaS"/>
    <x v="5"/>
    <s v="Yes"/>
    <n v="12887000"/>
    <x v="1"/>
  </r>
  <r>
    <s v="AI-0002"/>
    <s v="AI scribe invented patient symptoms in discharge summary"/>
    <s v="17-05-2025"/>
    <s v="Healthcare"/>
    <x v="1"/>
    <s v="No"/>
    <n v="260000"/>
    <x v="1"/>
  </r>
  <r>
    <s v="AI-0094"/>
    <s v="Prompt injection attack on customer-facing AI exposed enterprise credentials"/>
    <s v="16-12-2025"/>
    <s v="Technology/SaaS"/>
    <x v="0"/>
    <s v="Yes"/>
    <n v="3592000"/>
    <x v="1"/>
  </r>
  <r>
    <s v="AI-0034"/>
    <s v="Voice analysis AI in interviews discriminated against accented speakers"/>
    <s v="16-12-2024"/>
    <s v="HR/Recruiting"/>
    <x v="2"/>
    <s v="Yes"/>
    <n v="3133000"/>
    <x v="0"/>
  </r>
  <r>
    <s v="AI-0123"/>
    <s v="Contract-drafting AI inserted clause citing nonexistent consumer protection act"/>
    <s v="16-11-2025"/>
    <s v="Legal Services"/>
    <x v="1"/>
    <s v="Yes"/>
    <n v="62000"/>
    <x v="1"/>
  </r>
  <r>
    <s v="AI-0060"/>
    <s v="Autonomous deployment AI rolled out broken update to 340 production servers"/>
    <s v="16-07-2023"/>
    <s v="Technology/SaaS"/>
    <x v="5"/>
    <s v="Yes"/>
    <n v="16443000"/>
    <x v="3"/>
  </r>
  <r>
    <s v="AI-0072"/>
    <s v="Medication-review AI flagged fictitious contraindication, delaying patient treatment"/>
    <s v="16-07-2022"/>
    <s v="Healthcare"/>
    <x v="1"/>
    <s v="Yes"/>
    <n v="90000"/>
    <x v="4"/>
  </r>
  <r>
    <s v="AI-0005"/>
    <s v="Product recommendation AI fabricated specifications for listed items"/>
    <s v="15-08-2025"/>
    <s v="E-commerce"/>
    <x v="1"/>
    <s v="Yes"/>
    <n v="159000"/>
    <x v="1"/>
  </r>
  <r>
    <s v="AI-0054"/>
    <s v="Law firm filed brief citing 150,000 fictitious case citations from ChatGPT"/>
    <s v="15-05-2024"/>
    <s v="Legal Services"/>
    <x v="1"/>
    <s v="No"/>
    <n v="122000"/>
    <x v="0"/>
  </r>
  <r>
    <s v="AI-0044"/>
    <s v="AI legal research tool invented nonexistent statute in client memo"/>
    <s v="15-02-2022"/>
    <s v="Legal Services"/>
    <x v="1"/>
    <s v="Yes"/>
    <n v="186000"/>
    <x v="4"/>
  </r>
  <r>
    <s v="AI-0109"/>
    <s v="Robo-advisor newsletter AI misquoted central bank rate guidance"/>
    <s v="14-11-2023"/>
    <s v="Financial Services"/>
    <x v="3"/>
    <s v="No"/>
    <n v="1190000"/>
    <x v="3"/>
  </r>
  <r>
    <s v="AI-0007"/>
    <s v="AI-generated phishing breached client portal of regional bank"/>
    <s v="14-10-2021"/>
    <s v="Financial Services"/>
    <x v="0"/>
    <s v="No"/>
    <n v="4779000"/>
    <x v="2"/>
  </r>
  <r>
    <s v="AI-0056"/>
    <s v="AI recruiting tool published job posting citing fabricated certification requirements"/>
    <s v="14-06-2025"/>
    <s v="HR/Recruiting"/>
    <x v="3"/>
    <s v="Yes"/>
    <n v="342000"/>
    <x v="1"/>
  </r>
  <r>
    <s v="AI-0017"/>
    <s v="Skills-matching AI excluded candidates with disability accommodations"/>
    <s v="14-05-2025"/>
    <s v="HR/Recruiting"/>
    <x v="2"/>
    <s v="No"/>
    <n v="3322000"/>
    <x v="1"/>
  </r>
  <r>
    <s v="AI-0057"/>
    <s v="Marketing AI vendor leaked customer email lists in training data"/>
    <s v="14-03-2023"/>
    <s v="Marketing/Advertising"/>
    <x v="4"/>
    <s v="No"/>
    <n v="6531000"/>
    <x v="3"/>
  </r>
  <r>
    <s v="AI-0065"/>
    <s v="AI meeting transcription leaked confidential strategy session"/>
    <s v="13-09-2024"/>
    <s v="Technology/SaaS"/>
    <x v="4"/>
    <s v="No"/>
    <n v="3276000"/>
    <x v="0"/>
  </r>
  <r>
    <s v="AI-0031"/>
    <s v="Robo-advisor AI logged client SIN numbers to third-party LLM provider"/>
    <s v="13-06-2021"/>
    <s v="Financial Services"/>
    <x v="4"/>
    <s v="Yes"/>
    <n v="3554000"/>
    <x v="2"/>
  </r>
  <r>
    <s v="AI-0067"/>
    <s v="AI newsletter for law firm clients misstated new privacy regulation deadlines"/>
    <s v="13-04-2023"/>
    <s v="Legal Services"/>
    <x v="3"/>
    <s v="Yes"/>
    <n v="141000"/>
    <x v="3"/>
  </r>
  <r>
    <s v="AI-0014"/>
    <s v="AI-generated platform notification spread false outage information"/>
    <s v="13-02-2023"/>
    <s v="Technology/SaaS"/>
    <x v="3"/>
    <s v="No"/>
    <n v="652000"/>
    <x v="3"/>
  </r>
  <r>
    <s v="AI-0064"/>
    <s v="AI-driven ventilator weaning system caused respiratory distress event"/>
    <d v="2025-12-15T00:00:00"/>
    <s v="Healthcare"/>
    <x v="5"/>
    <s v="No"/>
    <n v="19501000"/>
    <x v="1"/>
  </r>
  <r>
    <s v="AI-0090"/>
    <s v="AI-generated market commentary on bank website misstated economic indicators"/>
    <d v="2025-12-12T00:00:00"/>
    <s v="Financial Services"/>
    <x v="3"/>
    <s v="Yes"/>
    <n v="187000"/>
    <x v="1"/>
  </r>
  <r>
    <s v="AI-0033"/>
    <s v="AI image tool produced culturally insensitive holiday campaign imagery"/>
    <d v="2025-12-11T00:00:00"/>
    <s v="Marketing/Advertising"/>
    <x v="3"/>
    <s v="No"/>
    <n v="675000"/>
    <x v="1"/>
  </r>
  <r>
    <s v="AI-0114"/>
    <s v="AI-driven feature gating excluded users in specific regions without notice"/>
    <d v="2025-12-08T00:00:00"/>
    <s v="Technology/SaaS"/>
    <x v="2"/>
    <s v="Yes"/>
    <n v="2079000"/>
    <x v="1"/>
  </r>
  <r>
    <s v="AI-0015"/>
    <s v="Paralegal AI assistant fabricated quotes from real Supreme Court rulings"/>
    <d v="2025-12-06T00:00:00"/>
    <s v="Legal Services"/>
    <x v="1"/>
    <s v="Yes"/>
    <n v="194000"/>
    <x v="1"/>
  </r>
  <r>
    <s v="AI-0100"/>
    <s v="SaaS AI feature exposed 4,800 customer documents via shared model context"/>
    <d v="2025-12-02T00:00:00"/>
    <s v="Technology/SaaS"/>
    <x v="4"/>
    <s v="Yes"/>
    <n v="1971000"/>
    <x v="1"/>
  </r>
  <r>
    <s v="AI-0078"/>
    <s v="AI banking assistant quoted incorrect mortgage rates to 580 customers"/>
    <d v="2025-11-15T00:00:00"/>
    <s v="Financial Services"/>
    <x v="1"/>
    <s v="Yes"/>
    <n v="175000"/>
    <x v="1"/>
  </r>
  <r>
    <s v="AI-0048"/>
    <s v="Autonomous content moderation AI banned 580 legitimate accounts in cascade"/>
    <d v="2025-11-11T00:00:00"/>
    <s v="Technology/SaaS"/>
    <x v="5"/>
    <s v="Yes"/>
    <n v="13905000"/>
    <x v="1"/>
  </r>
  <r>
    <s v="AI-0059"/>
    <s v="SaaS AI feature exposed 28,000 customer documents via shared model context"/>
    <d v="2025-11-09T00:00:00"/>
    <s v="Technology/SaaS"/>
    <x v="4"/>
    <s v="Yes"/>
    <n v="2887000"/>
    <x v="1"/>
  </r>
  <r>
    <s v="AI-0003"/>
    <s v="Pharmacy AI assistant transmitted prescription data to unauthorized third party"/>
    <d v="2025-11-05T00:00:00"/>
    <s v="Healthcare"/>
    <x v="4"/>
    <s v="No"/>
    <n v="7005000"/>
    <x v="1"/>
  </r>
  <r>
    <s v="AI-0045"/>
    <s v="AI-crafted spear phishing breached law firm client trust account"/>
    <d v="2025-11-04T00:00:00"/>
    <s v="Legal Services"/>
    <x v="0"/>
    <s v="No"/>
    <n v="4405000"/>
    <x v="1"/>
  </r>
  <r>
    <s v="AI-0058"/>
    <s v="Recruiting AI vendor breach exposed 28,000 applicant resumes"/>
    <d v="2025-11-04T00:00:00"/>
    <s v="HR/Recruiting"/>
    <x v="4"/>
    <s v="No"/>
    <n v="5865000"/>
    <x v="1"/>
  </r>
  <r>
    <s v="AI-0108"/>
    <s v="Autonomous infusion pump miscalculated dosage during AI override"/>
    <d v="2025-11-01T00:00:00"/>
    <s v="Healthcare"/>
    <x v="5"/>
    <s v="No"/>
    <n v="16454000"/>
    <x v="1"/>
  </r>
  <r>
    <s v="AI-0089"/>
    <s v="AI vendor breach leaked source code repositories of 4,800 enterprise clients"/>
    <d v="2025-09-12T00:00:00"/>
    <s v="Technology/SaaS"/>
    <x v="4"/>
    <s v="No"/>
    <n v="4324000"/>
    <x v="1"/>
  </r>
  <r>
    <s v="AI-0103"/>
    <s v="IP-clearance AI fabricated registration records in trademark opinion"/>
    <d v="2025-08-12T00:00:00"/>
    <s v="Legal Services"/>
    <x v="1"/>
    <s v="No"/>
    <n v="74000"/>
    <x v="1"/>
  </r>
  <r>
    <s v="AI-0085"/>
    <s v="AI underwriting tool penalized self-employed applicants disproportionately"/>
    <d v="2025-08-02T00:00:00"/>
    <s v="Financial Services"/>
    <x v="2"/>
    <s v="Yes"/>
    <n v="1990000"/>
    <x v="1"/>
  </r>
  <r>
    <s v="AI-0112"/>
    <s v="Brand-clearance AI invented conflicting marks in availability search"/>
    <d v="2025-06-22T00:00:00"/>
    <s v="Legal Services"/>
    <x v="1"/>
    <s v="Yes"/>
    <n v="176000"/>
    <x v="1"/>
  </r>
  <r>
    <s v="AI-0087"/>
    <s v="AI voice clone of local news anchor used in unauthorized radio spots"/>
    <d v="2025-05-11T00:00:00"/>
    <s v="Marketing/Advertising"/>
    <x v="3"/>
    <s v="No"/>
    <n v="452000"/>
    <x v="1"/>
  </r>
  <r>
    <s v="AI-0043"/>
    <s v="Dynamic pricing AI charged higher prices to customers in low-income postal codes"/>
    <d v="2025-05-09T00:00:00"/>
    <s v="E-commerce"/>
    <x v="2"/>
    <s v="No"/>
    <n v="1900000"/>
    <x v="1"/>
  </r>
  <r>
    <s v="AI-0121"/>
    <s v="Audience-segmentation AI leaked identifiable browsing profiles to ad partners"/>
    <d v="2025-05-01T00:00:00"/>
    <s v="Marketing/Advertising"/>
    <x v="4"/>
    <s v="Yes"/>
    <n v="3005000"/>
    <x v="1"/>
  </r>
  <r>
    <s v="AI-0077"/>
    <s v="AI promotion-prediction tool disadvantaged Black employees"/>
    <d v="2025-04-08T00:00:00"/>
    <s v="HR/Recruiting"/>
    <x v="2"/>
    <s v="Yes"/>
    <n v="2635000"/>
    <x v="1"/>
  </r>
  <r>
    <s v="AI-0012"/>
    <s v="EHR-integrated AI exposed mental health notes through prompt injection attack"/>
    <d v="2025-04-05T00:00:00"/>
    <s v="Healthcare"/>
    <x v="4"/>
    <s v="No"/>
    <n v="2169000"/>
    <x v="1"/>
  </r>
  <r>
    <s v="AI-0119"/>
    <s v="Employee-wellness AI shared health survey responses with hiring managers"/>
    <d v="2025-03-08T00:00:00"/>
    <s v="HR/Recruiting"/>
    <x v="4"/>
    <s v="No"/>
    <n v="6079000"/>
    <x v="1"/>
  </r>
  <r>
    <s v="AI-0113"/>
    <s v="Litigation-summary AI attributed fabricated statements to deposition witness"/>
    <d v="2025-03-06T00:00:00"/>
    <s v="Legal Services"/>
    <x v="1"/>
    <s v="No"/>
    <n v="83000"/>
    <x v="1"/>
  </r>
  <r>
    <s v="AI-0126"/>
    <s v="Synthetic ID fraud ring used GenAI to open 340 accounts"/>
    <d v="2025-02-12T00:00:00"/>
    <s v="Financial Services"/>
    <x v="0"/>
    <s v="Yes"/>
    <n v="3756000"/>
    <x v="1"/>
  </r>
  <r>
    <s v="AI-0104"/>
    <s v="Discovery AI summarized documents with fabricated content"/>
    <d v="2025-02-10T00:00:00"/>
    <s v="Legal Services"/>
    <x v="1"/>
    <s v="No"/>
    <n v="73000"/>
    <x v="1"/>
  </r>
  <r>
    <s v="AI-0035"/>
    <s v="Autonomous deployment AI rolled out broken update to 2,400 production servers"/>
    <d v="2025-02-08T00:00:00"/>
    <s v="Technology/SaaS"/>
    <x v="5"/>
    <s v="No"/>
    <n v="30167000"/>
    <x v="1"/>
  </r>
  <r>
    <s v="AI-0095"/>
    <s v="Performance-ranking AI systematically underrated employees over 55"/>
    <d v="2025-01-02T00:00:00"/>
    <s v="HR/Recruiting"/>
    <x v="2"/>
    <s v="No"/>
    <n v="4815000"/>
    <x v="1"/>
  </r>
  <r>
    <s v="AI-0036"/>
    <s v="ML pipeline misconfiguration exposed customer training data"/>
    <d v="2024-12-05T00:00:00"/>
    <s v="Technology/SaaS"/>
    <x v="4"/>
    <s v="No"/>
    <n v="5134000"/>
    <x v="0"/>
  </r>
  <r>
    <s v="AI-0122"/>
    <s v="Symptom-checker AI invented drug recall, patients stopped medication"/>
    <d v="2024-12-01T00:00:00"/>
    <s v="Healthcare"/>
    <x v="1"/>
    <s v="Yes"/>
    <n v="130000"/>
    <x v="0"/>
  </r>
  <r>
    <s v="AI-0029"/>
    <s v="Cloud-based AI legal tool exposed confidential M&amp;A documents"/>
    <d v="2024-10-04T00:00:00"/>
    <s v="Legal Services"/>
    <x v="4"/>
    <s v="Yes"/>
    <n v="4522000"/>
    <x v="0"/>
  </r>
  <r>
    <s v="AI-0115"/>
    <s v="Trademark-watch AI generated false infringement alerts, client filed needless opposition"/>
    <d v="2024-10-04T00:00:00"/>
    <s v="Legal Services"/>
    <x v="1"/>
    <s v="Yes"/>
    <n v="97000"/>
    <x v="0"/>
  </r>
  <r>
    <s v="AI-0132"/>
    <s v="Returns-processing AI emailed order histories to wrong customers in bulk"/>
    <d v="2024-09-09T00:00:00"/>
    <s v="E-commerce"/>
    <x v="4"/>
    <s v="No"/>
    <n v="4857000"/>
    <x v="0"/>
  </r>
  <r>
    <s v="AI-0051"/>
    <s v="Legal marketing AI published inaccurate compliance summary"/>
    <d v="2024-08-10T00:00:00"/>
    <s v="Legal Services"/>
    <x v="3"/>
    <s v="No"/>
    <n v="734000"/>
    <x v="0"/>
  </r>
  <r>
    <s v="AI-0135"/>
    <s v="Discharge-planning AI fabricated follow-up appointment instructions, patient harm"/>
    <d v="2024-08-09T00:00:00"/>
    <s v="Healthcare"/>
    <x v="1"/>
    <s v="No"/>
    <n v="289000"/>
    <x v="0"/>
  </r>
  <r>
    <s v="AI-0025"/>
    <s v="AI-generated job description listed nonexistent legal requirements"/>
    <d v="2024-08-08T00:00:00"/>
    <s v="HR/Recruiting"/>
    <x v="3"/>
    <s v="Yes"/>
    <n v="298000"/>
    <x v="0"/>
  </r>
  <r>
    <s v="AI-0082"/>
    <s v="AI ad copy invented product features that did not exist"/>
    <d v="2024-08-05T00:00:00"/>
    <s v="Marketing/Advertising"/>
    <x v="1"/>
    <s v="No"/>
    <n v="136000"/>
    <x v="0"/>
  </r>
  <r>
    <s v="AI-0008"/>
    <s v="AI copywriter produced misleading comparative advertising, regulator fined firm"/>
    <d v="2024-07-12T00:00:00"/>
    <s v="Marketing/Advertising"/>
    <x v="3"/>
    <s v="No"/>
    <n v="800000"/>
    <x v="0"/>
  </r>
  <r>
    <s v="AI-0105"/>
    <s v="Law-firm blog AI misreported scope of new employment legislation"/>
    <d v="2024-07-08T00:00:00"/>
    <s v="Legal Services"/>
    <x v="3"/>
    <s v="No"/>
    <n v="722000"/>
    <x v="0"/>
  </r>
  <r>
    <s v="AI-0050"/>
    <s v="Autonomous content moderation AI banned 340 legitimate accounts in cascade"/>
    <d v="2024-05-06T00:00:00"/>
    <s v="Technology/SaaS"/>
    <x v="5"/>
    <s v="Yes"/>
    <n v="15481000"/>
    <x v="0"/>
  </r>
  <r>
    <s v="AI-0032"/>
    <s v="AI voice clone defeated bank's biometric authentication"/>
    <d v="2024-04-27T00:00:00"/>
    <s v="Financial Services"/>
    <x v="0"/>
    <s v="No"/>
    <n v="4375000"/>
    <x v="0"/>
  </r>
  <r>
    <s v="AI-0009"/>
    <s v="AI press release hallucinated executive quotes"/>
    <d v="2024-04-08T00:00:00"/>
    <s v="Marketing/Advertising"/>
    <x v="1"/>
    <s v="Yes"/>
    <n v="108000"/>
    <x v="0"/>
  </r>
  <r>
    <s v="AI-0024"/>
    <s v="Content moderation AI disproportionately flagged minority-language posts"/>
    <d v="2024-04-08T00:00:00"/>
    <s v="Technology/SaaS"/>
    <x v="2"/>
    <s v="No"/>
    <n v="3505000"/>
    <x v="0"/>
  </r>
  <r>
    <s v="AI-0042"/>
    <s v="Talent-matching AI downranked applicants who disclosed medical leave history"/>
    <d v="2024-03-03T00:00:00"/>
    <s v="HR/Recruiting"/>
    <x v="2"/>
    <s v="Yes"/>
    <n v="3515000"/>
    <x v="0"/>
  </r>
  <r>
    <s v="AI-0016"/>
    <s v="AI-generated malware bypassed endpoint detection at SaaS provider"/>
    <d v="2024-02-15T00:00:00"/>
    <s v="Technology/SaaS"/>
    <x v="0"/>
    <s v="Yes"/>
    <n v="4698000"/>
    <x v="0"/>
  </r>
  <r>
    <s v="AI-0019"/>
    <s v="Robotic surgery assistant deviated from planned trajectory, patient injury"/>
    <d v="2023-12-01T00:00:00"/>
    <s v="Healthcare"/>
    <x v="5"/>
    <s v="No"/>
    <n v="31173000"/>
    <x v="3"/>
  </r>
  <r>
    <s v="AI-0080"/>
    <s v="AI-drafted will referenced nonexistent provincial statute"/>
    <d v="2023-10-01T00:00:00"/>
    <s v="Legal Services"/>
    <x v="1"/>
    <s v="No"/>
    <n v="144000"/>
    <x v="3"/>
  </r>
  <r>
    <s v="AI-0039"/>
    <s v="Generative AI campaign fabricated award and certification claims"/>
    <d v="2023-09-02T00:00:00"/>
    <s v="Marketing/Advertising"/>
    <x v="1"/>
    <s v="Yes"/>
    <n v="205000"/>
    <x v="3"/>
  </r>
  <r>
    <s v="AI-0062"/>
    <s v="AI bot network hijacked customer loyalty accounts at online marketplace"/>
    <d v="2023-06-12T00:00:00"/>
    <s v="E-commerce"/>
    <x v="0"/>
    <s v="Yes"/>
    <n v="3923000"/>
    <x v="3"/>
  </r>
  <r>
    <s v="AI-0083"/>
    <s v="Estate-planning AI cited fictitious tax exemption in trust documents"/>
    <d v="2023-06-12T00:00:00"/>
    <s v="Legal Services"/>
    <x v="1"/>
    <s v="Yes"/>
    <n v="168000"/>
    <x v="3"/>
  </r>
  <r>
    <s v="AI-0076"/>
    <s v="Returns AI gave customers nonexistent discount codes"/>
    <d v="2023-06-08T00:00:00"/>
    <s v="E-commerce"/>
    <x v="1"/>
    <s v="Yes"/>
    <n v="74000"/>
    <x v="3"/>
  </r>
  <r>
    <s v="AI-0099"/>
    <s v="AI fraud-detection vendor breach leaked transaction data of 150,000 customers"/>
    <d v="2023-05-04T00:00:00"/>
    <s v="Financial Services"/>
    <x v="4"/>
    <s v="Yes"/>
    <n v="2151000"/>
    <x v="3"/>
  </r>
  <r>
    <s v="AI-0004"/>
    <s v="Clinical chatbot logged sensitive intake notes to public training dataset"/>
    <d v="2023-04-09T00:00:00"/>
    <s v="Healthcare"/>
    <x v="4"/>
    <s v="Yes"/>
    <n v="2850000"/>
    <x v="3"/>
  </r>
  <r>
    <s v="AI-0011"/>
    <s v="Diagnostic AI vendor breach leaked imaging data of 75,000 patients"/>
    <d v="2023-04-01T00:00:00"/>
    <s v="Healthcare"/>
    <x v="4"/>
    <s v="No"/>
    <n v="3845000"/>
    <x v="3"/>
  </r>
  <r>
    <s v="AI-0117"/>
    <s v="Succession-planning AI excluded older employees from advancement pools"/>
    <d v="2023-01-12T00:00:00"/>
    <s v="HR/Recruiting"/>
    <x v="2"/>
    <s v="Yes"/>
    <n v="2646000"/>
    <x v="3"/>
  </r>
  <r>
    <s v="AI-0074"/>
    <s v="AI-generated voicemail scam diverted settlement funds from law firm escrow"/>
    <d v="2022-06-09T00:00:00"/>
    <s v="Legal Services"/>
    <x v="0"/>
    <s v="No"/>
    <n v="4049000"/>
    <x v="4"/>
  </r>
  <r>
    <s v="AI-0116"/>
    <s v="Prior-authorization AI denied rural Indigenous patients at elevated rates"/>
    <d v="2022-06-05T00:00:00"/>
    <s v="Healthcare"/>
    <x v="2"/>
    <s v="Yes"/>
    <n v="1523000"/>
    <x v="4"/>
  </r>
  <r>
    <s v="AI-0097"/>
    <s v="Patent-search AI reported fictitious filings, derailing client application"/>
    <d v="2022-05-13T00:00:00"/>
    <s v="Legal Services"/>
    <x v="1"/>
    <s v="No"/>
    <n v="207000"/>
    <x v="4"/>
  </r>
  <r>
    <s v="AI-0037"/>
    <s v="Autonomous AI system executed unintended actions causing major incident"/>
    <d v="2022-05-02T00:00:00"/>
    <s v="E-commerce"/>
    <x v="5"/>
    <s v="No"/>
    <n v="23105000"/>
    <x v="4"/>
  </r>
  <r>
    <s v="AI-0069"/>
    <s v="AI research assistant cited repealed legislation as current law in court filing"/>
    <d v="2022-04-11T00:00:00"/>
    <s v="Legal Services"/>
    <x v="1"/>
    <s v="No"/>
    <n v="243000"/>
    <x v="4"/>
  </r>
  <r>
    <s v="AI-0088"/>
    <s v="Insurance claims AI denied disproportionate share of Indigenous patient claims"/>
    <d v="2022-03-10T00:00:00"/>
    <s v="Healthcare"/>
    <x v="2"/>
    <s v="No"/>
    <n v="4482000"/>
    <x v="4"/>
  </r>
  <r>
    <s v="AI-0022"/>
    <s v="Recommendation AI exposed purchase histories of 120 customers"/>
    <d v="2022-03-01T00:00:00"/>
    <s v="E-commerce"/>
    <x v="4"/>
    <s v="Yes"/>
    <n v="2802000"/>
    <x v="4"/>
  </r>
  <r>
    <s v="AI-0028"/>
    <s v="AI-generated ad campaign used fabricated customer testimonials"/>
    <d v="2022-01-02T00:00:00"/>
    <s v="Marketing/Advertising"/>
    <x v="3"/>
    <s v="No"/>
    <n v="618000"/>
    <x v="4"/>
  </r>
  <r>
    <s v="AI-0070"/>
    <s v="AI-personalized phishing emails compromised wealth-management client accounts"/>
    <d v="2021-09-07T00:00:00"/>
    <s v="Financial Services"/>
    <x v="0"/>
    <s v="No"/>
    <n v="73570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n v="3.4492916053536556E-2"/>
  </r>
  <r>
    <x v="1"/>
    <x v="1"/>
    <x v="1"/>
    <n v="1.8580079475202353E-2"/>
  </r>
  <r>
    <x v="2"/>
    <x v="2"/>
    <x v="2"/>
    <n v="2.5683148207509561E-2"/>
  </r>
  <r>
    <x v="3"/>
    <x v="3"/>
    <x v="3"/>
    <n v="2.0299676009332794E-2"/>
  </r>
  <r>
    <x v="4"/>
    <x v="4"/>
    <x v="4"/>
    <n v="3.847509425301051E-2"/>
  </r>
  <r>
    <x v="5"/>
    <x v="5"/>
    <x v="5"/>
    <n v="3.0421070647088252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6846.400000000001"/>
    <n v="300237.41431870667"/>
    <n v="5.6110262067862356E-2"/>
  </r>
  <r>
    <x v="1"/>
    <n v="6072.1000000000022"/>
    <n v="440108.28502415458"/>
    <n v="1.3796831840297542E-2"/>
  </r>
  <r>
    <x v="2"/>
    <n v="10424.499999999985"/>
    <n v="621244.96458852873"/>
    <n v="1.6780015282545555E-2"/>
  </r>
  <r>
    <x v="3"/>
    <n v="4407.0000000000073"/>
    <n v="660075.30737704912"/>
    <n v="6.6765109234462466E-3"/>
  </r>
  <r>
    <x v="4"/>
    <n v="3121.4000000000015"/>
    <n v="1197661.4560260586"/>
    <n v="2.6062456834480331E-3"/>
  </r>
  <r>
    <x v="5"/>
    <n v="-560.24999999627471"/>
    <n v="1329826.0318420336"/>
    <n v="-4.2129570829669644E-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630.4000000000051"/>
    <n v="226122.44802631577"/>
    <n v="1.1632635428101695E-2"/>
  </r>
  <r>
    <x v="1"/>
    <n v="2705.3999999999978"/>
    <n v="165211.72268041238"/>
    <n v="1.6375351313498241E-2"/>
  </r>
  <r>
    <x v="2"/>
    <n v="7615.8000000000065"/>
    <n v="214225.61377245508"/>
    <n v="3.5550370779141811E-2"/>
  </r>
  <r>
    <x v="3"/>
    <n v="23221.899999999994"/>
    <n v="290827.77844827587"/>
    <n v="7.9847599579041043E-2"/>
  </r>
  <r>
    <x v="4"/>
    <n v="20389.399999999994"/>
    <n v="331410.9117647059"/>
    <n v="6.1523019539187644E-2"/>
  </r>
  <r>
    <x v="5"/>
    <n v="28122.930000000633"/>
    <n v="345162.70333514316"/>
    <n v="8.1477314113784963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974355.22598479618"/>
    <n v="5.1276370945209676E-2"/>
  </r>
  <r>
    <x v="1"/>
    <x v="1"/>
    <n v="990277.4154006968"/>
    <n v="4.8358368327144928E-2"/>
  </r>
  <r>
    <x v="2"/>
    <x v="2"/>
    <n v="954933.98761183769"/>
    <n v="4.9901145647954191E-2"/>
  </r>
  <r>
    <x v="3"/>
    <x v="3"/>
    <n v="963788.30798657716"/>
    <n v="5.2081872734960684E-2"/>
  </r>
  <r>
    <x v="4"/>
    <x v="4"/>
    <n v="880168.3231083845"/>
    <n v="4.7867321390538051E-2"/>
  </r>
  <r>
    <x v="5"/>
    <x v="5"/>
    <n v="889817.83242394682"/>
    <n v="4.8953918895217163E-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2410.900000000009"/>
    <n v="773905.1757009346"/>
    <n v="2.8958198890067125E-2"/>
  </r>
  <r>
    <x v="1"/>
    <n v="28150.800000000017"/>
    <n v="1006433.4054474707"/>
    <n v="2.7970852167296535E-2"/>
  </r>
  <r>
    <x v="2"/>
    <n v="17582"/>
    <n v="818540.6380047506"/>
    <n v="2.1479691030194103E-2"/>
  </r>
  <r>
    <x v="3"/>
    <n v="44007.5"/>
    <n v="1082413.263483871"/>
    <n v="4.0656837350973349E-2"/>
  </r>
  <r>
    <x v="4"/>
    <n v="48590.500000000029"/>
    <n v="1239590.0595988538"/>
    <n v="3.9198846121535125E-2"/>
  </r>
  <r>
    <x v="5"/>
    <n v="52613.109999999404"/>
    <n v="1293039.0967613496"/>
    <n v="4.068949665310079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CB203-1537-49B8-9BC2-C1505160EFCD}" name="PivotTable1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12:J119" firstHeaderRow="1" firstDataRow="1" firstDataCol="1"/>
  <pivotFields count="4">
    <pivotField axis="axisRow" showAll="0">
      <items count="7">
        <item x="0"/>
        <item x="1"/>
        <item x="2"/>
        <item x="3"/>
        <item x="4"/>
        <item x="5"/>
        <item t="default"/>
      </items>
    </pivotField>
    <pivotField showAll="0"/>
    <pivotField showAll="0"/>
    <pivotField dataField="1" numFmtId="169" showAll="0"/>
  </pivotFields>
  <rowFields count="1">
    <field x="0"/>
  </rowFields>
  <rowItems count="7">
    <i>
      <x/>
    </i>
    <i>
      <x v="1"/>
    </i>
    <i>
      <x v="2"/>
    </i>
    <i>
      <x v="3"/>
    </i>
    <i>
      <x v="4"/>
    </i>
    <i>
      <x v="5"/>
    </i>
    <i t="grand">
      <x/>
    </i>
  </rowItems>
  <colItems count="1">
    <i/>
  </colItems>
  <dataFields count="1">
    <dataField name="Sum of Profit Margin" fld="3" baseField="0" baseItem="0" numFmtId="169"/>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7D43B0-299C-4311-BB05-7D3E7B8B2160}"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12:G119" firstHeaderRow="1" firstDataRow="1" firstDataCol="1"/>
  <pivotFields count="4">
    <pivotField axis="axisRow" showAll="0">
      <items count="7">
        <item x="0"/>
        <item x="1"/>
        <item x="2"/>
        <item x="3"/>
        <item x="4"/>
        <item x="5"/>
        <item t="default"/>
      </items>
    </pivotField>
    <pivotField dataField="1" showAll="0"/>
    <pivotField showAll="0"/>
    <pivotField numFmtId="169"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A3C66-19B8-4ADF-B88F-813CA1D976F7}"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94:J101"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Profit Margin" fld="3"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F4922-5839-4B6A-8CB1-20B5CC9367C5}"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95:G102" firstHeaderRow="1" firstDataRow="1" firstDataCol="1"/>
  <pivotFields count="4">
    <pivotField axis="axisRow" showAll="0">
      <items count="7">
        <item x="0"/>
        <item x="1"/>
        <item x="2"/>
        <item x="3"/>
        <item x="4"/>
        <item x="5"/>
        <item t="default"/>
      </items>
    </pivotField>
    <pivotField dataField="1" showAll="0">
      <items count="7">
        <item x="4"/>
        <item x="5"/>
        <item x="2"/>
        <item x="1"/>
        <item x="0"/>
        <item x="3"/>
        <item t="default"/>
      </items>
    </pivotField>
    <pivotField showAll="0"/>
    <pivotField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2B4E1E-CE45-0443-9BD9-82A9E097B0E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8" firstHeaderRow="1" firstDataRow="1" firstDataCol="1"/>
  <pivotFields count="4">
    <pivotField axis="axisRow" showAll="0">
      <items count="7">
        <item x="0"/>
        <item x="1"/>
        <item x="2"/>
        <item x="3"/>
        <item x="4"/>
        <item x="5"/>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7D465-D268-A04C-B0D5-2F5B19CD3E8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7" firstHeaderRow="1" firstDataRow="1" firstDataCol="1"/>
  <pivotFields count="4">
    <pivotField axis="axisRow" showAll="0">
      <items count="7">
        <item x="0"/>
        <item x="1"/>
        <item x="2"/>
        <item x="3"/>
        <item x="4"/>
        <item x="5"/>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A8E7B0-A613-514E-8018-99637F23853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4">
    <pivotField axis="axisRow" showAll="0">
      <items count="7">
        <item x="0"/>
        <item x="1"/>
        <item x="2"/>
        <item x="3"/>
        <item x="4"/>
        <item x="5"/>
        <item t="default"/>
      </items>
    </pivotField>
    <pivotField dataField="1" showAll="0">
      <items count="7">
        <item x="1"/>
        <item x="3"/>
        <item x="2"/>
        <item x="0"/>
        <item x="5"/>
        <item x="4"/>
        <item t="default"/>
      </items>
    </pivotField>
    <pivotField showAll="0">
      <items count="7">
        <item x="0"/>
        <item x="1"/>
        <item x="2"/>
        <item x="3"/>
        <item x="4"/>
        <item x="5"/>
        <item t="default"/>
      </items>
    </pivotField>
    <pivotField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3398F8-5A71-A04C-9C95-7430B90F63C4}"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49:L56"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Profit Margin" fld="3"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99926-127C-E54A-96B3-AFF6B89C07B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5" firstHeaderRow="1" firstDataRow="1" firstDataCol="1"/>
  <pivotFields count="4">
    <pivotField axis="axisRow" showAll="0">
      <items count="7">
        <item x="0"/>
        <item x="1"/>
        <item x="2"/>
        <item x="3"/>
        <item x="4"/>
        <item x="5"/>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Estimated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4CDCBC-2DCC-774D-A2E9-466E80474581}"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69:L76"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Profit Margin"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E9780B-EC42-FC42-9677-C5FA16BC1B4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6:L33"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Profit Margin" fld="3" baseField="0" baseItem="0"/>
  </dataFields>
  <chartFormats count="2">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76AF84-7702-9D4E-91E4-C6EC7E25C92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L10" firstHeaderRow="1" firstDataRow="1" firstDataCol="1"/>
  <pivotFields count="4">
    <pivotField axis="axisRow" showAll="0">
      <items count="7">
        <item x="0"/>
        <item x="1"/>
        <item x="2"/>
        <item x="3"/>
        <item x="4"/>
        <item x="5"/>
        <item t="default"/>
      </items>
    </pivotField>
    <pivotField showAll="0">
      <items count="7">
        <item x="1"/>
        <item x="3"/>
        <item x="2"/>
        <item x="0"/>
        <item x="5"/>
        <item x="4"/>
        <item t="default"/>
      </items>
    </pivotField>
    <pivotField showAll="0">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Profit Margin" fld="3" baseField="0" baseItem="0"/>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54AC49-BACD-B740-A95E-9382897CDE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11" firstHeaderRow="1" firstDataRow="2" firstDataCol="1"/>
  <pivotFields count="7">
    <pivotField showAll="0"/>
    <pivotField showAll="0"/>
    <pivotField showAll="0"/>
    <pivotField axis="axisCol" showAll="0">
      <items count="8">
        <item x="2"/>
        <item x="0"/>
        <item x="1"/>
        <item x="6"/>
        <item x="5"/>
        <item x="3"/>
        <item x="4"/>
        <item t="default"/>
      </items>
    </pivotField>
    <pivotField axis="axisRow" showAll="0">
      <items count="7">
        <item x="0"/>
        <item x="5"/>
        <item x="3"/>
        <item x="1"/>
        <item x="4"/>
        <item x="2"/>
        <item t="default"/>
      </items>
    </pivotField>
    <pivotField showAll="0">
      <items count="3">
        <item x="1"/>
        <item x="0"/>
        <item t="default"/>
      </items>
    </pivotField>
    <pivotField dataField="1" numFmtId="166" showAll="0"/>
  </pivotFields>
  <rowFields count="1">
    <field x="4"/>
  </rowFields>
  <rowItems count="7">
    <i>
      <x/>
    </i>
    <i>
      <x v="1"/>
    </i>
    <i>
      <x v="2"/>
    </i>
    <i>
      <x v="3"/>
    </i>
    <i>
      <x v="4"/>
    </i>
    <i>
      <x v="5"/>
    </i>
    <i t="grand">
      <x/>
    </i>
  </rowItems>
  <colFields count="1">
    <field x="3"/>
  </colFields>
  <colItems count="8">
    <i>
      <x/>
    </i>
    <i>
      <x v="1"/>
    </i>
    <i>
      <x v="2"/>
    </i>
    <i>
      <x v="3"/>
    </i>
    <i>
      <x v="4"/>
    </i>
    <i>
      <x v="5"/>
    </i>
    <i>
      <x v="6"/>
    </i>
    <i t="grand">
      <x/>
    </i>
  </colItems>
  <dataFields count="1">
    <dataField name="Average of Estimated Insured Loss (CAD)" fld="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341DC6-C605-4D41-8484-D6A69B2495A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H9" firstHeaderRow="1" firstDataRow="2" firstDataCol="1"/>
  <pivotFields count="8">
    <pivotField showAll="0"/>
    <pivotField showAll="0"/>
    <pivotField showAll="0"/>
    <pivotField showAll="0"/>
    <pivotField axis="axisCol" showAll="0">
      <items count="7">
        <item x="2"/>
        <item x="5"/>
        <item x="0"/>
        <item x="1"/>
        <item x="3"/>
        <item x="4"/>
        <item t="default"/>
      </items>
    </pivotField>
    <pivotField showAll="0"/>
    <pivotField dataField="1" numFmtId="166" showAll="0"/>
    <pivotField axis="axisRow" showAll="0">
      <items count="6">
        <item x="2"/>
        <item x="4"/>
        <item x="3"/>
        <item x="0"/>
        <item x="1"/>
        <item t="default"/>
      </items>
    </pivotField>
  </pivotFields>
  <rowFields count="1">
    <field x="7"/>
  </rowFields>
  <rowItems count="6">
    <i>
      <x/>
    </i>
    <i>
      <x v="1"/>
    </i>
    <i>
      <x v="2"/>
    </i>
    <i>
      <x v="3"/>
    </i>
    <i>
      <x v="4"/>
    </i>
    <i t="grand">
      <x/>
    </i>
  </rowItems>
  <colFields count="1">
    <field x="4"/>
  </colFields>
  <colItems count="7">
    <i>
      <x/>
    </i>
    <i>
      <x v="1"/>
    </i>
    <i>
      <x v="2"/>
    </i>
    <i>
      <x v="3"/>
    </i>
    <i>
      <x v="4"/>
    </i>
    <i>
      <x v="5"/>
    </i>
    <i t="grand">
      <x/>
    </i>
  </colItems>
  <dataFields count="1">
    <dataField name="Sum of Estimated Insured Loss (CAD)" fld="6" baseField="0" baseItem="0" numFmtId="166"/>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munichre.com/en.html/hsb%20(Mar%202026)" TargetMode="External"/><Relationship Id="rId2" Type="http://schemas.openxmlformats.org/officeDocument/2006/relationships/hyperlink" Target="https://www.coalitioninc.com/" TargetMode="External"/><Relationship Id="rId1" Type="http://schemas.openxmlformats.org/officeDocument/2006/relationships/hyperlink" Target="http://testudo.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workbookViewId="0">
      <selection sqref="A1:D1"/>
    </sheetView>
  </sheetViews>
  <sheetFormatPr defaultColWidth="12.7109375" defaultRowHeight="15" customHeight="1"/>
  <cols>
    <col min="1" max="1" width="26" customWidth="1"/>
    <col min="2" max="2" width="30" customWidth="1"/>
    <col min="3" max="3" width="50" customWidth="1"/>
    <col min="4" max="4" width="40" customWidth="1"/>
  </cols>
  <sheetData>
    <row r="1" spans="1:4" ht="24" customHeight="1">
      <c r="A1" s="56" t="s">
        <v>0</v>
      </c>
      <c r="B1" s="56"/>
      <c r="C1" s="56"/>
      <c r="D1" s="56"/>
    </row>
    <row r="2" spans="1:4" ht="15.75" customHeight="1">
      <c r="A2" s="57" t="s">
        <v>1</v>
      </c>
      <c r="B2" s="57"/>
      <c r="C2" s="57"/>
      <c r="D2" s="57"/>
    </row>
    <row r="3" spans="1:4" ht="15.75" customHeight="1"/>
    <row r="4" spans="1:4" ht="15.75" customHeight="1">
      <c r="A4" s="58" t="s">
        <v>2</v>
      </c>
      <c r="B4" s="58"/>
      <c r="C4" s="58"/>
      <c r="D4" s="58"/>
    </row>
    <row r="5" spans="1:4" ht="42" customHeight="1">
      <c r="A5" s="3" t="s">
        <v>3</v>
      </c>
      <c r="B5" s="59" t="s">
        <v>4</v>
      </c>
      <c r="C5" s="59"/>
      <c r="D5" s="59"/>
    </row>
    <row r="6" spans="1:4" ht="42" customHeight="1">
      <c r="A6" s="3" t="s">
        <v>5</v>
      </c>
      <c r="B6" s="59" t="s">
        <v>6</v>
      </c>
      <c r="C6" s="59"/>
      <c r="D6" s="59"/>
    </row>
    <row r="7" spans="1:4" ht="42" customHeight="1">
      <c r="A7" s="3" t="s">
        <v>7</v>
      </c>
      <c r="B7" s="59" t="s">
        <v>8</v>
      </c>
      <c r="C7" s="59"/>
      <c r="D7" s="59"/>
    </row>
    <row r="8" spans="1:4" ht="15.75" customHeight="1">
      <c r="A8" s="58" t="s">
        <v>9</v>
      </c>
      <c r="B8" s="58"/>
      <c r="C8" s="58"/>
      <c r="D8" s="58"/>
    </row>
    <row r="9" spans="1:4" ht="21.75" customHeight="1">
      <c r="A9" s="2" t="s">
        <v>10</v>
      </c>
      <c r="B9" s="60" t="s">
        <v>11</v>
      </c>
      <c r="C9" s="60"/>
      <c r="D9" s="60"/>
    </row>
    <row r="10" spans="1:4" ht="51.75" customHeight="1">
      <c r="A10" s="4" t="s">
        <v>12</v>
      </c>
      <c r="B10" s="61" t="s">
        <v>13</v>
      </c>
      <c r="C10" s="61"/>
      <c r="D10" s="61"/>
    </row>
    <row r="11" spans="1:4" ht="51.75" customHeight="1">
      <c r="A11" s="4" t="s">
        <v>14</v>
      </c>
      <c r="B11" s="61" t="s">
        <v>15</v>
      </c>
      <c r="C11" s="61"/>
      <c r="D11" s="61"/>
    </row>
    <row r="12" spans="1:4" ht="51.75" customHeight="1">
      <c r="A12" s="4" t="s">
        <v>16</v>
      </c>
      <c r="B12" s="61" t="s">
        <v>17</v>
      </c>
      <c r="C12" s="61"/>
      <c r="D12" s="61"/>
    </row>
    <row r="13" spans="1:4" ht="51.75" customHeight="1">
      <c r="A13" s="4" t="s">
        <v>18</v>
      </c>
      <c r="B13" s="61" t="s">
        <v>19</v>
      </c>
      <c r="C13" s="61"/>
      <c r="D13" s="61"/>
    </row>
    <row r="14" spans="1:4" ht="51.75" customHeight="1">
      <c r="A14" s="4" t="s">
        <v>20</v>
      </c>
      <c r="B14" s="61" t="s">
        <v>21</v>
      </c>
      <c r="C14" s="61"/>
      <c r="D14" s="61"/>
    </row>
    <row r="15" spans="1:4" ht="15.75" customHeight="1">
      <c r="A15" s="62"/>
      <c r="B15" s="62"/>
      <c r="C15" s="62"/>
      <c r="D15" s="62"/>
    </row>
    <row r="16" spans="1:4" ht="18.75" customHeight="1">
      <c r="A16" s="58" t="s">
        <v>22</v>
      </c>
      <c r="B16" s="58"/>
      <c r="C16" s="58"/>
      <c r="D16" s="58"/>
    </row>
    <row r="17" spans="1:4" ht="30" customHeight="1">
      <c r="A17" s="5" t="s">
        <v>23</v>
      </c>
      <c r="B17" s="5" t="s">
        <v>24</v>
      </c>
      <c r="C17" s="5" t="s">
        <v>25</v>
      </c>
    </row>
    <row r="18" spans="1:4" ht="54" customHeight="1">
      <c r="A18" s="6" t="s">
        <v>26</v>
      </c>
      <c r="B18" s="7" t="s">
        <v>27</v>
      </c>
      <c r="C18" s="7" t="s">
        <v>28</v>
      </c>
    </row>
    <row r="19" spans="1:4" ht="54" customHeight="1">
      <c r="A19" s="6" t="s">
        <v>29</v>
      </c>
      <c r="B19" s="7" t="s">
        <v>30</v>
      </c>
      <c r="C19" s="7" t="s">
        <v>31</v>
      </c>
    </row>
    <row r="20" spans="1:4" ht="54" customHeight="1">
      <c r="A20" s="6" t="s">
        <v>32</v>
      </c>
      <c r="B20" s="7" t="s">
        <v>33</v>
      </c>
      <c r="C20" s="7" t="s">
        <v>34</v>
      </c>
    </row>
    <row r="21" spans="1:4" ht="54" customHeight="1">
      <c r="A21" s="6" t="s">
        <v>35</v>
      </c>
      <c r="B21" s="7" t="s">
        <v>36</v>
      </c>
      <c r="C21" s="7" t="s">
        <v>37</v>
      </c>
    </row>
    <row r="22" spans="1:4" ht="54" customHeight="1">
      <c r="A22" s="6" t="s">
        <v>38</v>
      </c>
      <c r="B22" s="7" t="s">
        <v>39</v>
      </c>
      <c r="C22" s="7" t="s">
        <v>40</v>
      </c>
    </row>
    <row r="23" spans="1:4" ht="54" customHeight="1">
      <c r="A23" s="6" t="s">
        <v>41</v>
      </c>
      <c r="B23" s="7" t="s">
        <v>42</v>
      </c>
      <c r="C23" s="7" t="s">
        <v>43</v>
      </c>
    </row>
    <row r="24" spans="1:4" ht="43.5" customHeight="1">
      <c r="A24" s="62"/>
      <c r="B24" s="62"/>
      <c r="C24" s="62"/>
      <c r="D24" s="62"/>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24:D24"/>
    <mergeCell ref="B12:D12"/>
    <mergeCell ref="B13:D13"/>
    <mergeCell ref="B14:D14"/>
    <mergeCell ref="A15:D15"/>
    <mergeCell ref="A16:D16"/>
    <mergeCell ref="B7:D7"/>
    <mergeCell ref="A8:D8"/>
    <mergeCell ref="B9:D9"/>
    <mergeCell ref="B10:D10"/>
    <mergeCell ref="B11:D11"/>
    <mergeCell ref="A1:D1"/>
    <mergeCell ref="A2:D2"/>
    <mergeCell ref="A4:D4"/>
    <mergeCell ref="B5:D5"/>
    <mergeCell ref="B6:D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outlinePr summaryBelow="0"/>
  </sheetPr>
  <dimension ref="A1:M1005"/>
  <sheetViews>
    <sheetView topLeftCell="A26" workbookViewId="0"/>
  </sheetViews>
  <sheetFormatPr defaultColWidth="12.7109375" defaultRowHeight="15" customHeight="1"/>
  <cols>
    <col min="1" max="1" width="33.7109375" customWidth="1"/>
    <col min="7" max="7" width="4.42578125" customWidth="1"/>
    <col min="8" max="8" width="18.42578125" style="35" customWidth="1"/>
    <col min="9" max="9" width="16.42578125" customWidth="1"/>
    <col min="10" max="10" width="19.42578125" customWidth="1"/>
    <col min="11" max="11" width="13.7109375" bestFit="1" customWidth="1"/>
    <col min="12" max="12" width="15.5703125" customWidth="1"/>
    <col min="13" max="13" width="16.42578125" customWidth="1"/>
  </cols>
  <sheetData>
    <row r="1" spans="1:13" ht="16.5">
      <c r="A1" s="8" t="s">
        <v>44</v>
      </c>
      <c r="B1" s="8" t="s">
        <v>45</v>
      </c>
    </row>
    <row r="2" spans="1:13" ht="15.75" customHeight="1">
      <c r="A2" s="9"/>
      <c r="B2" s="10"/>
      <c r="C2" s="10"/>
      <c r="D2" s="10"/>
      <c r="E2" s="10"/>
      <c r="F2" s="10"/>
    </row>
    <row r="3" spans="1:13" ht="18">
      <c r="A3" s="63" t="s">
        <v>46</v>
      </c>
      <c r="B3" s="63"/>
      <c r="C3" s="10"/>
      <c r="D3" s="10"/>
      <c r="E3" s="10"/>
      <c r="F3" s="10"/>
      <c r="I3" s="31"/>
    </row>
    <row r="4" spans="1:13" ht="15.75" customHeight="1">
      <c r="A4" s="11" t="s">
        <v>47</v>
      </c>
      <c r="B4" s="12">
        <v>2021</v>
      </c>
      <c r="C4" s="12">
        <v>2022</v>
      </c>
      <c r="D4" s="12">
        <v>2023</v>
      </c>
      <c r="E4" s="12">
        <v>2024</v>
      </c>
      <c r="F4" s="12">
        <v>2025</v>
      </c>
      <c r="H4" s="35" t="s">
        <v>47</v>
      </c>
      <c r="I4" s="12">
        <v>2021</v>
      </c>
      <c r="J4" s="12">
        <v>2022</v>
      </c>
      <c r="K4" s="12">
        <v>2023</v>
      </c>
      <c r="L4" s="12">
        <v>2024</v>
      </c>
      <c r="M4" s="12">
        <v>2025</v>
      </c>
    </row>
    <row r="5" spans="1:13" ht="15.75" customHeight="1">
      <c r="A5" s="11" t="s">
        <v>12</v>
      </c>
      <c r="B5" s="13">
        <v>4150</v>
      </c>
      <c r="C5" s="13">
        <v>4413</v>
      </c>
      <c r="D5" s="13">
        <v>4592</v>
      </c>
      <c r="E5" s="13">
        <v>4889</v>
      </c>
      <c r="F5" s="13">
        <v>5012</v>
      </c>
      <c r="H5" s="35" t="s">
        <v>391</v>
      </c>
      <c r="I5">
        <f>B7-B8*B10-B11</f>
        <v>13032.800000000003</v>
      </c>
      <c r="J5">
        <f>C7-C8*C10-C11</f>
        <v>7363.0999999999949</v>
      </c>
      <c r="K5">
        <f>D7-D8*D10-D11</f>
        <v>12244.199999999997</v>
      </c>
      <c r="L5">
        <f>E7-E8*E10-E11</f>
        <v>9871.1000000000022</v>
      </c>
      <c r="M5">
        <f>F7-F8*F10-F11</f>
        <v>19216.000000000007</v>
      </c>
    </row>
    <row r="6" spans="1:13" ht="15.75" customHeight="1">
      <c r="A6" s="11" t="s">
        <v>48</v>
      </c>
      <c r="B6" s="14">
        <f>B8/B5</f>
        <v>0.12216867469879518</v>
      </c>
      <c r="C6" s="14">
        <f>C8/C5</f>
        <v>0.11466122818944029</v>
      </c>
      <c r="D6" s="14">
        <f>D8/D5</f>
        <v>0.12195121951219512</v>
      </c>
      <c r="E6" s="14">
        <f>E8/E5</f>
        <v>0.11679280016363265</v>
      </c>
      <c r="F6" s="14">
        <f>F8/F5</f>
        <v>0.12011173184357542</v>
      </c>
      <c r="H6" s="35" t="s">
        <v>461</v>
      </c>
      <c r="I6" s="34">
        <f>B5*B10</f>
        <v>377839.90138067061</v>
      </c>
      <c r="J6" s="34">
        <f>C5*C10</f>
        <v>396290.01640316204</v>
      </c>
      <c r="K6" s="34">
        <f>D5*D10</f>
        <v>476740.62</v>
      </c>
      <c r="L6" s="34">
        <f>E5*E10</f>
        <v>486268.84465849382</v>
      </c>
      <c r="M6" s="34">
        <f>F5*F10</f>
        <v>499439.97209302324</v>
      </c>
    </row>
    <row r="7" spans="1:13" ht="15.75" customHeight="1">
      <c r="A7" s="11" t="s">
        <v>49</v>
      </c>
      <c r="B7" s="15">
        <v>78924</v>
      </c>
      <c r="C7" s="15">
        <v>70402.899999999994</v>
      </c>
      <c r="D7" s="15">
        <v>93844.4</v>
      </c>
      <c r="E7" s="15">
        <v>88885</v>
      </c>
      <c r="F7" s="15">
        <v>105606.1</v>
      </c>
      <c r="H7" s="35" t="s">
        <v>462</v>
      </c>
      <c r="I7" s="36">
        <f>I5/I6</f>
        <v>3.4492916053536556E-2</v>
      </c>
      <c r="J7" s="36">
        <f t="shared" ref="J7:M7" si="0">J5/J6</f>
        <v>1.8580079475202353E-2</v>
      </c>
      <c r="K7" s="36">
        <f t="shared" si="0"/>
        <v>2.5683148207509561E-2</v>
      </c>
      <c r="L7" s="36">
        <f t="shared" si="0"/>
        <v>2.0299676009332794E-2</v>
      </c>
      <c r="M7" s="36">
        <f t="shared" si="0"/>
        <v>3.847509425301051E-2</v>
      </c>
    </row>
    <row r="8" spans="1:13" ht="15.75" customHeight="1">
      <c r="A8" s="11" t="s">
        <v>50</v>
      </c>
      <c r="B8" s="15">
        <v>507</v>
      </c>
      <c r="C8" s="15">
        <v>506</v>
      </c>
      <c r="D8" s="15">
        <v>560</v>
      </c>
      <c r="E8" s="15">
        <v>571</v>
      </c>
      <c r="F8" s="15">
        <v>602</v>
      </c>
    </row>
    <row r="9" spans="1:13" ht="15.75" customHeight="1">
      <c r="A9" s="11" t="s">
        <v>51</v>
      </c>
      <c r="B9" s="15">
        <v>46160.2</v>
      </c>
      <c r="C9" s="15">
        <v>45439.1</v>
      </c>
      <c r="D9" s="15">
        <v>58139.1</v>
      </c>
      <c r="E9" s="15">
        <v>56792.7</v>
      </c>
      <c r="F9" s="15">
        <v>59988.6</v>
      </c>
    </row>
    <row r="10" spans="1:13" ht="15.75" customHeight="1">
      <c r="A10" s="11" t="s">
        <v>52</v>
      </c>
      <c r="B10" s="15">
        <f>B9/B8</f>
        <v>91.045759368836286</v>
      </c>
      <c r="C10" s="15">
        <f>C9/C8</f>
        <v>89.800592885375494</v>
      </c>
      <c r="D10" s="15">
        <f>D9/D8</f>
        <v>103.81982142857143</v>
      </c>
      <c r="E10" s="15">
        <f>E9/E8</f>
        <v>99.461821366024509</v>
      </c>
      <c r="F10" s="15">
        <f>F9/F8</f>
        <v>99.648837209302329</v>
      </c>
      <c r="I10" s="41"/>
    </row>
    <row r="11" spans="1:13" ht="15.75" customHeight="1">
      <c r="A11" s="11" t="s">
        <v>53</v>
      </c>
      <c r="B11" s="15">
        <v>19731</v>
      </c>
      <c r="C11" s="15">
        <v>17600.7</v>
      </c>
      <c r="D11" s="15">
        <v>23461.1</v>
      </c>
      <c r="E11" s="15">
        <v>22221.200000000001</v>
      </c>
      <c r="F11" s="15">
        <v>26401.5</v>
      </c>
    </row>
    <row r="12" spans="1:13" ht="15.75" customHeight="1">
      <c r="A12" s="1"/>
      <c r="B12" s="1"/>
      <c r="C12" s="1"/>
      <c r="D12" s="10"/>
      <c r="E12" s="10"/>
      <c r="F12" s="10"/>
    </row>
    <row r="13" spans="1:13" ht="18">
      <c r="A13" s="1" t="s">
        <v>54</v>
      </c>
      <c r="B13" s="1"/>
      <c r="C13" s="1"/>
      <c r="D13" s="10"/>
      <c r="E13" s="10"/>
      <c r="F13" s="10"/>
    </row>
    <row r="14" spans="1:13" ht="15.75" customHeight="1">
      <c r="A14" s="11" t="s">
        <v>47</v>
      </c>
      <c r="B14" s="12">
        <v>2021</v>
      </c>
      <c r="C14" s="12">
        <v>2022</v>
      </c>
      <c r="D14" s="12">
        <v>2023</v>
      </c>
      <c r="E14" s="12">
        <v>2024</v>
      </c>
      <c r="F14" s="12">
        <v>2025</v>
      </c>
      <c r="H14" s="35" t="s">
        <v>47</v>
      </c>
      <c r="I14" s="12">
        <v>2021</v>
      </c>
      <c r="J14" s="12">
        <v>2022</v>
      </c>
      <c r="K14" s="12">
        <v>2023</v>
      </c>
      <c r="L14" s="12">
        <v>2024</v>
      </c>
      <c r="M14" s="12">
        <v>2025</v>
      </c>
    </row>
    <row r="15" spans="1:13" ht="15.75" customHeight="1">
      <c r="A15" s="11" t="s">
        <v>12</v>
      </c>
      <c r="B15" s="13">
        <v>1826</v>
      </c>
      <c r="C15" s="13">
        <v>2110</v>
      </c>
      <c r="D15" s="13">
        <v>2788</v>
      </c>
      <c r="E15" s="13">
        <v>3375</v>
      </c>
      <c r="F15" s="13">
        <v>3998</v>
      </c>
      <c r="H15" s="35" t="s">
        <v>391</v>
      </c>
      <c r="I15">
        <f>B17-B18*B20-B21</f>
        <v>16846.400000000001</v>
      </c>
      <c r="J15">
        <f>C17-C18*C20-C21</f>
        <v>6072.1000000000022</v>
      </c>
      <c r="K15">
        <f>D17-D18*D20-D21</f>
        <v>10424.499999999985</v>
      </c>
      <c r="L15">
        <f>E17-E18*E20-E21</f>
        <v>4407.0000000000073</v>
      </c>
      <c r="M15">
        <f>F17-F18*F20-F21</f>
        <v>3121.4000000000015</v>
      </c>
    </row>
    <row r="16" spans="1:13" ht="15.75" customHeight="1">
      <c r="A16" s="11" t="s">
        <v>48</v>
      </c>
      <c r="B16" s="14">
        <f>B18/B15</f>
        <v>0.23713033953997809</v>
      </c>
      <c r="C16" s="14">
        <f>C18/C15</f>
        <v>9.8104265402843602E-2</v>
      </c>
      <c r="D16" s="14">
        <f>D18/D15</f>
        <v>0.14383070301291248</v>
      </c>
      <c r="E16" s="14">
        <f>E18/E15</f>
        <v>0.14459259259259261</v>
      </c>
      <c r="F16" s="14">
        <f>F18/F15</f>
        <v>7.6788394197098556E-2</v>
      </c>
      <c r="H16" s="35" t="s">
        <v>461</v>
      </c>
      <c r="I16" s="34">
        <f>B15*B20</f>
        <v>300237.41431870667</v>
      </c>
      <c r="J16" s="34">
        <f>C15*C20</f>
        <v>440108.28502415458</v>
      </c>
      <c r="K16" s="34">
        <f>D15*D20</f>
        <v>621244.96458852873</v>
      </c>
      <c r="L16" s="34">
        <f>E15*E20</f>
        <v>660075.30737704912</v>
      </c>
      <c r="M16" s="34">
        <f>F15*F20</f>
        <v>1197661.4560260586</v>
      </c>
    </row>
    <row r="17" spans="1:13" ht="15.75" customHeight="1">
      <c r="A17" s="11" t="s">
        <v>49</v>
      </c>
      <c r="B17" s="15">
        <v>122280.2</v>
      </c>
      <c r="C17" s="15">
        <v>68400.800000000003</v>
      </c>
      <c r="D17" s="15">
        <v>138581.4</v>
      </c>
      <c r="E17" s="15">
        <v>138679.1</v>
      </c>
      <c r="F17" s="15">
        <v>132066.5</v>
      </c>
      <c r="H17" s="35" t="s">
        <v>462</v>
      </c>
      <c r="I17" s="36">
        <f>I15/I16</f>
        <v>5.6110262067862356E-2</v>
      </c>
      <c r="J17" s="36">
        <f t="shared" ref="J17" si="1">J15/J16</f>
        <v>1.3796831840297542E-2</v>
      </c>
      <c r="K17" s="36">
        <f t="shared" ref="K17" si="2">K15/K16</f>
        <v>1.6780015282545555E-2</v>
      </c>
      <c r="L17" s="36">
        <f t="shared" ref="L17" si="3">L15/L16</f>
        <v>6.6765109234462466E-3</v>
      </c>
      <c r="M17" s="36">
        <f t="shared" ref="M17" si="4">M15/M16</f>
        <v>2.6062456834480331E-3</v>
      </c>
    </row>
    <row r="18" spans="1:13" ht="15.75" customHeight="1">
      <c r="A18" s="11" t="s">
        <v>50</v>
      </c>
      <c r="B18" s="15">
        <v>433</v>
      </c>
      <c r="C18" s="15">
        <v>207</v>
      </c>
      <c r="D18" s="15">
        <v>401</v>
      </c>
      <c r="E18" s="15">
        <v>488</v>
      </c>
      <c r="F18" s="15">
        <v>307</v>
      </c>
    </row>
    <row r="19" spans="1:13" ht="15.75" customHeight="1">
      <c r="A19" s="11" t="s">
        <v>51</v>
      </c>
      <c r="B19" s="15">
        <v>71195.399999999994</v>
      </c>
      <c r="C19" s="15">
        <v>43176.5</v>
      </c>
      <c r="D19" s="15">
        <v>89354.1</v>
      </c>
      <c r="E19" s="15">
        <v>95442</v>
      </c>
      <c r="F19" s="15">
        <v>91966.5</v>
      </c>
      <c r="H19" s="50"/>
    </row>
    <row r="20" spans="1:13" ht="15.75" customHeight="1">
      <c r="A20" s="11" t="s">
        <v>52</v>
      </c>
      <c r="B20" s="15">
        <f>B19/B18</f>
        <v>164.42355658198613</v>
      </c>
      <c r="C20" s="15">
        <f>C19/C18</f>
        <v>208.58212560386474</v>
      </c>
      <c r="D20" s="15">
        <f>D19/D18</f>
        <v>222.82817955112222</v>
      </c>
      <c r="E20" s="15">
        <f>E19/E18</f>
        <v>195.57786885245901</v>
      </c>
      <c r="F20" s="15">
        <f>F19/F18</f>
        <v>299.56514657980455</v>
      </c>
      <c r="H20" s="50"/>
    </row>
    <row r="21" spans="1:13" ht="15.75" customHeight="1">
      <c r="A21" s="11" t="s">
        <v>53</v>
      </c>
      <c r="B21" s="15">
        <v>34238.400000000001</v>
      </c>
      <c r="C21" s="15">
        <v>19152.2</v>
      </c>
      <c r="D21" s="15">
        <v>38802.800000000003</v>
      </c>
      <c r="E21" s="15">
        <v>38830.1</v>
      </c>
      <c r="F21" s="15">
        <v>36978.6</v>
      </c>
    </row>
    <row r="22" spans="1:13" ht="15.75" customHeight="1">
      <c r="A22" s="1"/>
      <c r="B22" s="1"/>
      <c r="C22" s="1"/>
      <c r="D22" s="10"/>
      <c r="E22" s="10"/>
      <c r="F22" s="10"/>
    </row>
    <row r="23" spans="1:13" ht="18">
      <c r="A23" s="63" t="s">
        <v>55</v>
      </c>
      <c r="B23" s="63"/>
      <c r="C23" s="63"/>
      <c r="D23" s="10"/>
      <c r="E23" s="10"/>
      <c r="F23" s="10"/>
    </row>
    <row r="24" spans="1:13" ht="15.75" customHeight="1">
      <c r="A24" s="11" t="s">
        <v>47</v>
      </c>
      <c r="B24" s="12">
        <v>2021</v>
      </c>
      <c r="C24" s="12">
        <v>2022</v>
      </c>
      <c r="D24" s="12">
        <v>2023</v>
      </c>
      <c r="E24" s="12">
        <v>2024</v>
      </c>
      <c r="F24" s="12">
        <v>2025</v>
      </c>
      <c r="H24" s="35" t="s">
        <v>47</v>
      </c>
      <c r="I24" s="12">
        <v>2021</v>
      </c>
      <c r="J24" s="12">
        <v>2022</v>
      </c>
      <c r="K24" s="12">
        <v>2023</v>
      </c>
      <c r="L24" s="12">
        <v>2024</v>
      </c>
      <c r="M24" s="12">
        <v>2025</v>
      </c>
    </row>
    <row r="25" spans="1:13" ht="15.75" customHeight="1">
      <c r="A25" s="11" t="s">
        <v>12</v>
      </c>
      <c r="B25" s="13">
        <v>953</v>
      </c>
      <c r="C25" s="13">
        <v>1002</v>
      </c>
      <c r="D25" s="13">
        <v>1075</v>
      </c>
      <c r="E25" s="13">
        <v>1282</v>
      </c>
      <c r="F25" s="13">
        <v>1430</v>
      </c>
      <c r="H25" s="35" t="s">
        <v>391</v>
      </c>
      <c r="I25">
        <f>B27-B28*B30-B31</f>
        <v>2630.4000000000051</v>
      </c>
      <c r="J25">
        <f>C27-C28*C30-C31</f>
        <v>2705.3999999999978</v>
      </c>
      <c r="K25">
        <f>D27-D28*D30-D31</f>
        <v>7615.8000000000065</v>
      </c>
      <c r="L25">
        <f>E27-E28*E30-E31</f>
        <v>23221.899999999994</v>
      </c>
      <c r="M25">
        <f>F27-F28*F30-F31</f>
        <v>20389.399999999994</v>
      </c>
    </row>
    <row r="26" spans="1:13" ht="15.75" customHeight="1">
      <c r="A26" s="11" t="s">
        <v>48</v>
      </c>
      <c r="B26" s="14">
        <f>B28/B25</f>
        <v>0.15949632738719832</v>
      </c>
      <c r="C26" s="14">
        <f>C28/C25</f>
        <v>0.19361277445109781</v>
      </c>
      <c r="D26" s="14">
        <f>D28/D25</f>
        <v>0.15534883720930232</v>
      </c>
      <c r="E26" s="14">
        <f>E28/E25</f>
        <v>0.18096723868954759</v>
      </c>
      <c r="F26" s="14">
        <f>F28/F25</f>
        <v>0.16643356643356644</v>
      </c>
      <c r="H26" s="35" t="s">
        <v>461</v>
      </c>
      <c r="I26" s="34">
        <f>B25*B30</f>
        <v>226122.44802631577</v>
      </c>
      <c r="J26" s="34">
        <f>C25*C30</f>
        <v>165211.72268041238</v>
      </c>
      <c r="K26" s="34">
        <f>D25*D30</f>
        <v>214225.61377245508</v>
      </c>
      <c r="L26" s="34">
        <f>E25*E30</f>
        <v>290827.77844827587</v>
      </c>
      <c r="M26" s="34">
        <f>F25*F30</f>
        <v>331410.9117647059</v>
      </c>
    </row>
    <row r="27" spans="1:13" ht="15.75" customHeight="1">
      <c r="A27" s="11" t="s">
        <v>49</v>
      </c>
      <c r="B27" s="15">
        <v>51594.8</v>
      </c>
      <c r="C27" s="15">
        <v>46256.7</v>
      </c>
      <c r="D27" s="15">
        <v>54527.3</v>
      </c>
      <c r="E27" s="15">
        <v>101136.2</v>
      </c>
      <c r="F27" s="15">
        <v>100729.7</v>
      </c>
      <c r="H27" s="35" t="s">
        <v>462</v>
      </c>
      <c r="I27" s="36">
        <f>I25/I26</f>
        <v>1.1632635428101695E-2</v>
      </c>
      <c r="J27" s="36">
        <f t="shared" ref="J27" si="5">J25/J26</f>
        <v>1.6375351313498241E-2</v>
      </c>
      <c r="K27" s="36">
        <f t="shared" ref="K27" si="6">K25/K26</f>
        <v>3.5550370779141811E-2</v>
      </c>
      <c r="L27" s="36">
        <f t="shared" ref="L27" si="7">L25/L26</f>
        <v>7.9847599579041043E-2</v>
      </c>
      <c r="M27" s="36">
        <f t="shared" ref="M27" si="8">M25/M26</f>
        <v>6.1523019539187644E-2</v>
      </c>
    </row>
    <row r="28" spans="1:13" ht="15.75" customHeight="1">
      <c r="A28" s="11" t="s">
        <v>50</v>
      </c>
      <c r="B28" s="15">
        <v>152</v>
      </c>
      <c r="C28" s="15">
        <v>194</v>
      </c>
      <c r="D28" s="15">
        <v>167</v>
      </c>
      <c r="E28" s="15">
        <v>232</v>
      </c>
      <c r="F28" s="15">
        <v>238</v>
      </c>
    </row>
    <row r="29" spans="1:13" ht="15.75" customHeight="1">
      <c r="A29" s="11" t="s">
        <v>51</v>
      </c>
      <c r="B29" s="15">
        <v>36065.699999999997</v>
      </c>
      <c r="C29" s="15">
        <v>31987.1</v>
      </c>
      <c r="D29" s="15">
        <v>33279.699999999997</v>
      </c>
      <c r="E29" s="15">
        <v>52630.3</v>
      </c>
      <c r="F29" s="15">
        <v>55157.9</v>
      </c>
    </row>
    <row r="30" spans="1:13" ht="15.75" customHeight="1">
      <c r="A30" s="11" t="s">
        <v>52</v>
      </c>
      <c r="B30" s="15">
        <f>B29/B28</f>
        <v>237.27434210526314</v>
      </c>
      <c r="C30" s="15">
        <f>C29/C28</f>
        <v>164.8819587628866</v>
      </c>
      <c r="D30" s="15">
        <f>D29/D28</f>
        <v>199.27964071856286</v>
      </c>
      <c r="E30" s="15">
        <f>E29/E28</f>
        <v>226.85474137931035</v>
      </c>
      <c r="F30" s="15">
        <f>F29/F28</f>
        <v>231.75588235294117</v>
      </c>
    </row>
    <row r="31" spans="1:13" ht="15.75" customHeight="1">
      <c r="A31" s="11" t="s">
        <v>53</v>
      </c>
      <c r="B31" s="15">
        <v>12898.7</v>
      </c>
      <c r="C31" s="15">
        <v>11564.2</v>
      </c>
      <c r="D31" s="15">
        <v>13631.8</v>
      </c>
      <c r="E31" s="15">
        <v>25284</v>
      </c>
      <c r="F31" s="15">
        <v>25182.400000000001</v>
      </c>
    </row>
    <row r="32" spans="1:13" ht="15.75" customHeight="1">
      <c r="A32" s="1"/>
      <c r="B32" s="1"/>
      <c r="C32" s="1"/>
      <c r="D32" s="10"/>
      <c r="E32" s="10"/>
      <c r="F32" s="10"/>
    </row>
    <row r="33" spans="1:13" ht="18">
      <c r="A33" s="63" t="s">
        <v>56</v>
      </c>
      <c r="B33" s="63"/>
      <c r="C33" s="63"/>
      <c r="D33" s="10"/>
      <c r="E33" s="10"/>
      <c r="F33" s="10"/>
    </row>
    <row r="34" spans="1:13" ht="15.75" customHeight="1">
      <c r="A34" s="11" t="s">
        <v>47</v>
      </c>
      <c r="B34" s="12">
        <v>2021</v>
      </c>
      <c r="C34" s="12">
        <v>2022</v>
      </c>
      <c r="D34" s="12">
        <v>2023</v>
      </c>
      <c r="E34" s="12">
        <v>2024</v>
      </c>
      <c r="F34" s="12">
        <v>2025</v>
      </c>
      <c r="H34" s="35" t="s">
        <v>47</v>
      </c>
      <c r="I34" s="12">
        <v>2021</v>
      </c>
      <c r="J34" s="12">
        <v>2022</v>
      </c>
      <c r="K34" s="12">
        <v>2023</v>
      </c>
      <c r="L34" s="12">
        <v>2024</v>
      </c>
      <c r="M34" s="12">
        <v>2025</v>
      </c>
    </row>
    <row r="35" spans="1:13" ht="15.75" customHeight="1">
      <c r="A35" s="11" t="s">
        <v>12</v>
      </c>
      <c r="B35" s="13">
        <v>12162</v>
      </c>
      <c r="C35" s="13">
        <v>12199</v>
      </c>
      <c r="D35" s="13">
        <v>11779</v>
      </c>
      <c r="E35" s="13">
        <v>12041</v>
      </c>
      <c r="F35" s="13">
        <v>12450</v>
      </c>
      <c r="H35" s="35" t="s">
        <v>391</v>
      </c>
      <c r="I35">
        <f>B37-B38*B40-B41</f>
        <v>49961.400000000009</v>
      </c>
      <c r="J35">
        <f>C37-C38*C40-C41</f>
        <v>47888.2</v>
      </c>
      <c r="K35">
        <f>D37-D38*D40-D41</f>
        <v>47652.299999999996</v>
      </c>
      <c r="L35">
        <f>E37-E38*E40-E41</f>
        <v>50195.9</v>
      </c>
      <c r="M35">
        <f>F37-F38*F40-F41</f>
        <v>42131.299999999981</v>
      </c>
    </row>
    <row r="36" spans="1:13" ht="15.75" customHeight="1">
      <c r="A36" s="11" t="s">
        <v>48</v>
      </c>
      <c r="B36" s="14">
        <f>B38/B35</f>
        <v>0.11897714191744779</v>
      </c>
      <c r="C36" s="14">
        <f>C38/C35</f>
        <v>0.11763259283547832</v>
      </c>
      <c r="D36" s="14">
        <f>D38/D35</f>
        <v>0.12335512352491723</v>
      </c>
      <c r="E36" s="14">
        <f>E38/E35</f>
        <v>0.12374387509343078</v>
      </c>
      <c r="F36" s="14">
        <f>F38/F35</f>
        <v>0.11783132530120483</v>
      </c>
      <c r="H36" s="35" t="s">
        <v>461</v>
      </c>
      <c r="I36" s="34">
        <f>B35*B40</f>
        <v>974355.22598479618</v>
      </c>
      <c r="J36" s="34">
        <f>C35*C40</f>
        <v>990277.4154006968</v>
      </c>
      <c r="K36" s="34">
        <f>D35*D40</f>
        <v>954933.98761183769</v>
      </c>
      <c r="L36" s="34">
        <f>E35*E40</f>
        <v>963788.30798657716</v>
      </c>
      <c r="M36" s="34">
        <f>F35*F40</f>
        <v>880168.3231083845</v>
      </c>
    </row>
    <row r="37" spans="1:13" ht="15.75" customHeight="1">
      <c r="A37" s="11" t="s">
        <v>49</v>
      </c>
      <c r="B37" s="15">
        <v>212676.1</v>
      </c>
      <c r="C37" s="15">
        <v>210739.9</v>
      </c>
      <c r="D37" s="15">
        <v>212113.2</v>
      </c>
      <c r="E37" s="15">
        <v>217254.9</v>
      </c>
      <c r="F37" s="15">
        <v>186977.8</v>
      </c>
      <c r="H37" s="35" t="s">
        <v>462</v>
      </c>
      <c r="I37" s="36">
        <f>I35/I36</f>
        <v>5.1276370945209676E-2</v>
      </c>
      <c r="J37" s="36">
        <f t="shared" ref="J37" si="9">J35/J36</f>
        <v>4.8358368327144928E-2</v>
      </c>
      <c r="K37" s="36">
        <f t="shared" ref="K37" si="10">K35/K36</f>
        <v>4.9901145647954191E-2</v>
      </c>
      <c r="L37" s="36">
        <f t="shared" ref="L37" si="11">L35/L36</f>
        <v>5.2081872734960684E-2</v>
      </c>
      <c r="M37" s="36">
        <f t="shared" ref="M37" si="12">M35/M36</f>
        <v>4.7867321390538051E-2</v>
      </c>
    </row>
    <row r="38" spans="1:13" ht="15.75" customHeight="1">
      <c r="A38" s="11" t="s">
        <v>50</v>
      </c>
      <c r="B38" s="15">
        <v>1447</v>
      </c>
      <c r="C38" s="15">
        <v>1435</v>
      </c>
      <c r="D38" s="15">
        <v>1453</v>
      </c>
      <c r="E38" s="15">
        <v>1490</v>
      </c>
      <c r="F38" s="15">
        <v>1467</v>
      </c>
    </row>
    <row r="39" spans="1:13" ht="15.75" customHeight="1">
      <c r="A39" s="11" t="s">
        <v>51</v>
      </c>
      <c r="B39" s="15">
        <v>115926</v>
      </c>
      <c r="C39" s="15">
        <v>116488.9</v>
      </c>
      <c r="D39" s="15">
        <v>117796</v>
      </c>
      <c r="E39" s="15">
        <v>119262.9</v>
      </c>
      <c r="F39" s="15">
        <v>103711.4</v>
      </c>
    </row>
    <row r="40" spans="1:13" ht="15.75" customHeight="1">
      <c r="A40" s="11" t="s">
        <v>52</v>
      </c>
      <c r="B40" s="15">
        <f>B39/B38</f>
        <v>80.1147201105736</v>
      </c>
      <c r="C40" s="15">
        <f>C39/C38</f>
        <v>81.176933797909399</v>
      </c>
      <c r="D40" s="15">
        <f>D39/D38</f>
        <v>81.070887818306957</v>
      </c>
      <c r="E40" s="15">
        <f>E39/E38</f>
        <v>80.042214765100667</v>
      </c>
      <c r="F40" s="15">
        <f>F39/F38</f>
        <v>70.696250852079075</v>
      </c>
    </row>
    <row r="41" spans="1:13" ht="15.75" customHeight="1">
      <c r="A41" s="11" t="s">
        <v>53</v>
      </c>
      <c r="B41" s="15">
        <v>46788.7</v>
      </c>
      <c r="C41" s="15">
        <v>46362.8</v>
      </c>
      <c r="D41" s="15">
        <v>46664.9</v>
      </c>
      <c r="E41" s="15">
        <v>47796.1</v>
      </c>
      <c r="F41" s="15">
        <v>41135.1</v>
      </c>
    </row>
    <row r="42" spans="1:13" ht="15.75" customHeight="1"/>
    <row r="43" spans="1:13" ht="18">
      <c r="A43" s="63" t="s">
        <v>57</v>
      </c>
      <c r="B43" s="63"/>
      <c r="C43" s="63"/>
      <c r="D43" s="10"/>
      <c r="E43" s="10"/>
      <c r="F43" s="10"/>
    </row>
    <row r="44" spans="1:13" ht="15.75" customHeight="1">
      <c r="A44" s="11" t="s">
        <v>47</v>
      </c>
      <c r="B44" s="12">
        <v>2021</v>
      </c>
      <c r="C44" s="12">
        <v>2022</v>
      </c>
      <c r="D44" s="12">
        <v>2023</v>
      </c>
      <c r="E44" s="12">
        <v>2024</v>
      </c>
      <c r="F44" s="12">
        <v>2025</v>
      </c>
      <c r="H44" s="35" t="s">
        <v>47</v>
      </c>
      <c r="I44" s="12">
        <v>2021</v>
      </c>
      <c r="J44" s="12">
        <v>2022</v>
      </c>
      <c r="K44" s="12">
        <v>2023</v>
      </c>
      <c r="L44" s="12">
        <v>2024</v>
      </c>
      <c r="M44" s="12">
        <v>2025</v>
      </c>
    </row>
    <row r="45" spans="1:13" ht="15.75" customHeight="1">
      <c r="A45" s="11" t="s">
        <v>12</v>
      </c>
      <c r="B45" s="13">
        <v>8946</v>
      </c>
      <c r="C45" s="13">
        <v>9247</v>
      </c>
      <c r="D45" s="13">
        <v>9132</v>
      </c>
      <c r="E45" s="13">
        <v>9369</v>
      </c>
      <c r="F45" s="13">
        <v>9454</v>
      </c>
      <c r="H45" s="35" t="s">
        <v>391</v>
      </c>
      <c r="I45">
        <f>B47-B48*B50-B51</f>
        <v>22410.900000000009</v>
      </c>
      <c r="J45">
        <f>C47-C48*C50-C51</f>
        <v>28150.800000000017</v>
      </c>
      <c r="K45">
        <f>D47-D48*D50-D51</f>
        <v>17582</v>
      </c>
      <c r="L45">
        <f>E47-E48*E50-E51</f>
        <v>44007.5</v>
      </c>
      <c r="M45">
        <f>F47-F48*F50-F51</f>
        <v>48590.500000000029</v>
      </c>
    </row>
    <row r="46" spans="1:13" ht="15.75" customHeight="1">
      <c r="A46" s="11" t="s">
        <v>48</v>
      </c>
      <c r="B46" s="14">
        <f>B48/B45</f>
        <v>0.10764587525150905</v>
      </c>
      <c r="C46" s="14">
        <f>C48/C45</f>
        <v>0.11117119065642911</v>
      </c>
      <c r="D46" s="14">
        <f>D48/D45</f>
        <v>9.2203241349102058E-2</v>
      </c>
      <c r="E46" s="14">
        <f>E48/E45</f>
        <v>0.16543921443056889</v>
      </c>
      <c r="F46" s="14">
        <f>F48/F45</f>
        <v>0.14766236513645017</v>
      </c>
      <c r="H46" s="35" t="s">
        <v>461</v>
      </c>
      <c r="I46" s="34">
        <f>B45*B50</f>
        <v>773905.1757009346</v>
      </c>
      <c r="J46" s="34">
        <f>C45*C50</f>
        <v>1006433.4054474707</v>
      </c>
      <c r="K46" s="34">
        <f>D45*D50</f>
        <v>818540.6380047506</v>
      </c>
      <c r="L46" s="34">
        <f>E45*E50</f>
        <v>1082413.263483871</v>
      </c>
      <c r="M46" s="34">
        <f>F45*F50</f>
        <v>1239590.0595988538</v>
      </c>
    </row>
    <row r="47" spans="1:13" ht="15.75" customHeight="1">
      <c r="A47" s="11" t="s">
        <v>49</v>
      </c>
      <c r="B47" s="13">
        <v>140958.1</v>
      </c>
      <c r="C47" s="13">
        <v>186716.2</v>
      </c>
      <c r="D47" s="13">
        <v>124072.1</v>
      </c>
      <c r="E47" s="13">
        <v>297441.5</v>
      </c>
      <c r="F47" s="13">
        <v>308841.7</v>
      </c>
      <c r="H47" s="35" t="s">
        <v>462</v>
      </c>
      <c r="I47" s="36">
        <f>I45/I46</f>
        <v>2.8958198890067125E-2</v>
      </c>
      <c r="J47" s="36">
        <f t="shared" ref="J47" si="13">J45/J46</f>
        <v>2.7970852167296535E-2</v>
      </c>
      <c r="K47" s="36">
        <f t="shared" ref="K47" si="14">K45/K46</f>
        <v>2.1479691030194103E-2</v>
      </c>
      <c r="L47" s="36">
        <f t="shared" ref="L47" si="15">L45/L46</f>
        <v>4.0656837350973349E-2</v>
      </c>
      <c r="M47" s="36">
        <f t="shared" ref="M47" si="16">M45/M46</f>
        <v>3.9198846121535125E-2</v>
      </c>
    </row>
    <row r="48" spans="1:13" ht="15.75" customHeight="1">
      <c r="A48" s="11" t="s">
        <v>50</v>
      </c>
      <c r="B48" s="13">
        <v>963</v>
      </c>
      <c r="C48" s="13">
        <v>1028</v>
      </c>
      <c r="D48" s="13">
        <v>842</v>
      </c>
      <c r="E48" s="13">
        <v>1550</v>
      </c>
      <c r="F48" s="13">
        <v>1396</v>
      </c>
    </row>
    <row r="49" spans="1:6" ht="15.75" customHeight="1">
      <c r="A49" s="11" t="s">
        <v>51</v>
      </c>
      <c r="B49" s="13">
        <v>83307.7</v>
      </c>
      <c r="C49" s="13">
        <v>111886.39999999999</v>
      </c>
      <c r="D49" s="13">
        <v>75472.100000000006</v>
      </c>
      <c r="E49" s="13">
        <v>179073.6</v>
      </c>
      <c r="F49" s="13">
        <v>183040.8</v>
      </c>
    </row>
    <row r="50" spans="1:6" ht="15.75" customHeight="1">
      <c r="A50" s="11" t="s">
        <v>52</v>
      </c>
      <c r="B50" s="15">
        <f>B49/B48</f>
        <v>86.508515057113186</v>
      </c>
      <c r="C50" s="15">
        <f>C49/C48</f>
        <v>108.83891050583657</v>
      </c>
      <c r="D50" s="15">
        <f>D49/D48</f>
        <v>89.634323040380053</v>
      </c>
      <c r="E50" s="15">
        <f>E49/E48</f>
        <v>115.53135483870967</v>
      </c>
      <c r="F50" s="15">
        <f>F49/F48</f>
        <v>131.11805157593122</v>
      </c>
    </row>
    <row r="51" spans="1:6" ht="15.75" customHeight="1">
      <c r="A51" s="11" t="s">
        <v>53</v>
      </c>
      <c r="B51" s="13">
        <v>35239.5</v>
      </c>
      <c r="C51" s="13">
        <v>46679</v>
      </c>
      <c r="D51" s="13">
        <v>31018</v>
      </c>
      <c r="E51" s="13">
        <v>74360.399999999994</v>
      </c>
      <c r="F51" s="13">
        <v>77210.399999999994</v>
      </c>
    </row>
    <row r="52" spans="1:6" ht="15.75" customHeight="1"/>
    <row r="53" spans="1:6" ht="15.75" customHeight="1"/>
    <row r="54" spans="1:6" ht="15.75" customHeight="1"/>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
    <mergeCell ref="A3:B3"/>
    <mergeCell ref="A23:C23"/>
    <mergeCell ref="A33:C33"/>
    <mergeCell ref="A43:C43"/>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E78C-3077-2A48-95A5-11AAF3FAB35A}">
  <dimension ref="A1:X102"/>
  <sheetViews>
    <sheetView topLeftCell="A60" workbookViewId="0">
      <selection activeCell="H88" sqref="H88:K94"/>
    </sheetView>
  </sheetViews>
  <sheetFormatPr defaultColWidth="11.42578125" defaultRowHeight="12.75"/>
  <cols>
    <col min="1" max="1" width="17.28515625" style="35" customWidth="1"/>
    <col min="3" max="3" width="18.28515625" style="41" customWidth="1"/>
    <col min="4" max="4" width="15.7109375" style="41" bestFit="1" customWidth="1"/>
    <col min="5" max="6" width="14.7109375" style="41" bestFit="1" customWidth="1"/>
    <col min="8" max="8" width="23" customWidth="1"/>
    <col min="11" max="11" width="20" customWidth="1"/>
    <col min="14" max="14" width="16.140625" customWidth="1"/>
    <col min="15" max="15" width="19.140625" customWidth="1"/>
    <col min="16" max="16" width="18.85546875" customWidth="1"/>
    <col min="20" max="20" width="24.42578125" customWidth="1"/>
    <col min="23" max="23" width="18.140625" bestFit="1" customWidth="1"/>
    <col min="24" max="24" width="19.42578125" customWidth="1"/>
  </cols>
  <sheetData>
    <row r="1" spans="1:24">
      <c r="A1" s="35" t="s">
        <v>44</v>
      </c>
      <c r="B1" t="s">
        <v>45</v>
      </c>
    </row>
    <row r="3" spans="1:24" ht="35.1" customHeight="1">
      <c r="A3" s="38" t="s">
        <v>46</v>
      </c>
      <c r="H3" s="35" t="s">
        <v>469</v>
      </c>
      <c r="P3" s="39" t="s">
        <v>463</v>
      </c>
    </row>
    <row r="4" spans="1:24" ht="15">
      <c r="A4" s="35" t="s">
        <v>47</v>
      </c>
      <c r="B4">
        <v>2021</v>
      </c>
      <c r="C4">
        <v>2022</v>
      </c>
      <c r="D4">
        <v>2023</v>
      </c>
      <c r="E4">
        <v>2024</v>
      </c>
      <c r="F4">
        <v>2025</v>
      </c>
      <c r="H4" t="s">
        <v>47</v>
      </c>
      <c r="I4">
        <v>2021</v>
      </c>
      <c r="J4">
        <v>2022</v>
      </c>
      <c r="K4">
        <v>2023</v>
      </c>
      <c r="L4">
        <v>2024</v>
      </c>
      <c r="M4">
        <v>2025</v>
      </c>
      <c r="N4" s="44">
        <v>2026</v>
      </c>
      <c r="O4" s="35"/>
      <c r="P4" s="31" t="s">
        <v>464</v>
      </c>
      <c r="Q4" s="31" t="s">
        <v>465</v>
      </c>
      <c r="R4" s="31" t="s">
        <v>468</v>
      </c>
      <c r="S4" s="31"/>
      <c r="T4" s="40" t="s">
        <v>466</v>
      </c>
    </row>
    <row r="5" spans="1:24">
      <c r="A5" s="35" t="s">
        <v>12</v>
      </c>
      <c r="B5">
        <v>4150</v>
      </c>
      <c r="C5" s="41">
        <v>4413</v>
      </c>
      <c r="D5" s="41">
        <v>4592</v>
      </c>
      <c r="E5" s="41">
        <v>4889</v>
      </c>
      <c r="F5" s="41">
        <v>5012</v>
      </c>
      <c r="H5" t="s">
        <v>391</v>
      </c>
      <c r="I5">
        <v>13032.800000000003</v>
      </c>
      <c r="J5">
        <v>7363.0999999999949</v>
      </c>
      <c r="K5">
        <v>12244.199999999997</v>
      </c>
      <c r="L5">
        <v>9871.1000000000022</v>
      </c>
      <c r="M5">
        <v>19216.000000000007</v>
      </c>
      <c r="N5">
        <f>P7-P9-P11</f>
        <v>16807.760000000242</v>
      </c>
      <c r="O5" s="35" t="s">
        <v>12</v>
      </c>
      <c r="P5">
        <f>_xlfn.FORECAST.LINEAR(2026,B5:F5,$B$4:$F$4)</f>
        <v>5271.2000000000116</v>
      </c>
      <c r="Q5">
        <f>CORREL(B5:F5,$B$4:$F$4)</f>
        <v>0.99368552309383118</v>
      </c>
      <c r="R5">
        <v>0.99368552300000001</v>
      </c>
    </row>
    <row r="6" spans="1:24">
      <c r="A6" s="35" t="s">
        <v>48</v>
      </c>
      <c r="B6">
        <v>0.12216867469879518</v>
      </c>
      <c r="C6" s="41">
        <v>0.11466122818944029</v>
      </c>
      <c r="D6" s="41">
        <v>0.12195121951219512</v>
      </c>
      <c r="E6" s="41">
        <v>0.11679280016363265</v>
      </c>
      <c r="F6" s="41">
        <v>0.12011173184357542</v>
      </c>
      <c r="H6" t="s">
        <v>461</v>
      </c>
      <c r="I6">
        <v>377839.90138067061</v>
      </c>
      <c r="J6">
        <v>396290.01640316204</v>
      </c>
      <c r="K6">
        <v>476740.62</v>
      </c>
      <c r="L6">
        <v>486268.84465849382</v>
      </c>
      <c r="M6">
        <v>499439.97209302324</v>
      </c>
      <c r="N6">
        <f>P5*P10</f>
        <v>552503.89425754792</v>
      </c>
      <c r="O6" s="35" t="s">
        <v>48</v>
      </c>
      <c r="P6">
        <f>_xlfn.FORECAST.LINEAR(2026,B6:F6,$B$4:$F$4)</f>
        <v>0.11854243676065362</v>
      </c>
      <c r="Q6">
        <f t="shared" ref="Q6:Q51" si="0">CORREL(B6:F6,$B$4:$F$4)</f>
        <v>-9.4947815609230241E-2</v>
      </c>
      <c r="R6">
        <v>9.4947816000000004E-2</v>
      </c>
    </row>
    <row r="7" spans="1:24">
      <c r="A7" s="35" t="s">
        <v>49</v>
      </c>
      <c r="B7">
        <v>78924</v>
      </c>
      <c r="C7" s="41">
        <v>70402.899999999994</v>
      </c>
      <c r="D7" s="41">
        <v>93844.4</v>
      </c>
      <c r="E7" s="41">
        <v>88885</v>
      </c>
      <c r="F7" s="41">
        <v>105606.1</v>
      </c>
      <c r="H7" t="s">
        <v>462</v>
      </c>
      <c r="I7" s="37">
        <v>3.4492916053536556E-2</v>
      </c>
      <c r="J7" s="37">
        <v>1.8580079475202353E-2</v>
      </c>
      <c r="K7" s="37">
        <v>2.5683148207509561E-2</v>
      </c>
      <c r="L7" s="37">
        <v>2.0299676009332794E-2</v>
      </c>
      <c r="M7" s="37">
        <v>3.847509425301051E-2</v>
      </c>
      <c r="N7" s="36">
        <f>N5/N6</f>
        <v>3.0421070647088252E-2</v>
      </c>
      <c r="O7" s="35" t="s">
        <v>49</v>
      </c>
      <c r="P7">
        <f t="shared" ref="P7:P48" si="1">_xlfn.FORECAST.LINEAR(2026,B7:F7,$B$4:$F$4)</f>
        <v>109086.37000000104</v>
      </c>
      <c r="Q7">
        <f t="shared" si="0"/>
        <v>0.83754592907509018</v>
      </c>
      <c r="R7">
        <v>0.83754592900000002</v>
      </c>
    </row>
    <row r="8" spans="1:24">
      <c r="A8" s="35" t="s">
        <v>50</v>
      </c>
      <c r="B8">
        <v>507</v>
      </c>
      <c r="C8" s="41">
        <v>506</v>
      </c>
      <c r="D8" s="41">
        <v>560</v>
      </c>
      <c r="E8" s="41">
        <v>571</v>
      </c>
      <c r="F8" s="41">
        <v>602</v>
      </c>
      <c r="O8" s="35" t="s">
        <v>50</v>
      </c>
      <c r="P8">
        <f t="shared" si="1"/>
        <v>625.69999999999709</v>
      </c>
      <c r="Q8">
        <f t="shared" si="0"/>
        <v>0.96196968055450804</v>
      </c>
      <c r="R8">
        <v>0.96196968100000002</v>
      </c>
      <c r="T8" s="31" t="s">
        <v>467</v>
      </c>
      <c r="U8" s="31" t="s">
        <v>470</v>
      </c>
      <c r="V8" s="31" t="s">
        <v>475</v>
      </c>
      <c r="W8" s="31" t="s">
        <v>476</v>
      </c>
      <c r="X8" s="31" t="s">
        <v>477</v>
      </c>
    </row>
    <row r="9" spans="1:24">
      <c r="A9" s="35" t="s">
        <v>51</v>
      </c>
      <c r="B9">
        <v>46160.2</v>
      </c>
      <c r="C9" s="41">
        <v>45439.1</v>
      </c>
      <c r="D9" s="41">
        <v>58139.1</v>
      </c>
      <c r="E9" s="41">
        <v>56792.7</v>
      </c>
      <c r="F9" s="41">
        <v>59988.6</v>
      </c>
      <c r="O9" s="35" t="s">
        <v>51</v>
      </c>
      <c r="P9">
        <f t="shared" si="1"/>
        <v>65007.060000000522</v>
      </c>
      <c r="Q9">
        <f t="shared" si="0"/>
        <v>0.88769280236327408</v>
      </c>
      <c r="R9">
        <v>0.887692802</v>
      </c>
      <c r="T9">
        <f>P8*P10</f>
        <v>65583.109469749834</v>
      </c>
      <c r="U9">
        <f>T9-P9</f>
        <v>576.04946974931227</v>
      </c>
      <c r="V9">
        <f>P7-T9-P11</f>
        <v>16231.71053025093</v>
      </c>
      <c r="W9" s="54">
        <f>V9/N6</f>
        <v>2.9378454521235591E-2</v>
      </c>
      <c r="X9" s="49">
        <f>W9-N7</f>
        <v>-1.0426161258526613E-3</v>
      </c>
    </row>
    <row r="10" spans="1:24">
      <c r="A10" s="35" t="s">
        <v>52</v>
      </c>
      <c r="B10">
        <v>91.045759368836286</v>
      </c>
      <c r="C10" s="42">
        <v>89.800592885375494</v>
      </c>
      <c r="D10" s="42">
        <v>103.81982142857143</v>
      </c>
      <c r="E10" s="42">
        <v>99.461821366024509</v>
      </c>
      <c r="F10" s="42">
        <v>99.648837209302329</v>
      </c>
      <c r="G10" s="36"/>
      <c r="O10" s="35" t="s">
        <v>52</v>
      </c>
      <c r="P10">
        <f t="shared" si="1"/>
        <v>104.81558170009612</v>
      </c>
      <c r="Q10">
        <f t="shared" si="0"/>
        <v>0.70177800751088959</v>
      </c>
      <c r="R10">
        <v>0.70177800800000001</v>
      </c>
    </row>
    <row r="11" spans="1:24">
      <c r="A11" s="35" t="s">
        <v>53</v>
      </c>
      <c r="B11">
        <v>19731</v>
      </c>
      <c r="C11" s="43">
        <v>17600.7</v>
      </c>
      <c r="D11" s="41">
        <v>23461.1</v>
      </c>
      <c r="E11" s="41">
        <v>22221.200000000001</v>
      </c>
      <c r="F11" s="41">
        <v>26401.5</v>
      </c>
      <c r="O11" s="35" t="s">
        <v>53</v>
      </c>
      <c r="P11">
        <f t="shared" si="1"/>
        <v>27271.550000000279</v>
      </c>
      <c r="Q11">
        <f t="shared" si="0"/>
        <v>0.83754284715424043</v>
      </c>
      <c r="R11">
        <v>0.83754284700000003</v>
      </c>
    </row>
    <row r="13" spans="1:24" ht="19.5">
      <c r="A13" s="38" t="s">
        <v>54</v>
      </c>
    </row>
    <row r="14" spans="1:24">
      <c r="A14" s="35" t="s">
        <v>47</v>
      </c>
      <c r="B14">
        <v>2021</v>
      </c>
      <c r="C14">
        <v>2022</v>
      </c>
      <c r="D14">
        <v>2023</v>
      </c>
      <c r="E14">
        <v>2024</v>
      </c>
      <c r="F14">
        <v>2025</v>
      </c>
      <c r="H14" t="s">
        <v>47</v>
      </c>
      <c r="I14">
        <v>2021</v>
      </c>
      <c r="J14">
        <v>2022</v>
      </c>
      <c r="K14">
        <v>2023</v>
      </c>
      <c r="L14">
        <v>2024</v>
      </c>
      <c r="M14">
        <v>2025</v>
      </c>
      <c r="N14" s="44">
        <v>2026</v>
      </c>
    </row>
    <row r="15" spans="1:24">
      <c r="A15" s="35" t="s">
        <v>12</v>
      </c>
      <c r="B15">
        <v>1826</v>
      </c>
      <c r="C15" s="41">
        <v>2110</v>
      </c>
      <c r="D15" s="41">
        <v>2788</v>
      </c>
      <c r="E15" s="41">
        <v>3375</v>
      </c>
      <c r="F15" s="41">
        <v>3998</v>
      </c>
      <c r="H15" t="s">
        <v>391</v>
      </c>
      <c r="I15">
        <v>16846.400000000001</v>
      </c>
      <c r="J15">
        <v>6072.1000000000022</v>
      </c>
      <c r="K15">
        <v>10424.499999999985</v>
      </c>
      <c r="L15">
        <v>4407.0000000000073</v>
      </c>
      <c r="M15">
        <v>3121.4000000000015</v>
      </c>
      <c r="N15">
        <f>P17-P19-P21</f>
        <v>-560.24999999627471</v>
      </c>
      <c r="O15" s="35" t="s">
        <v>12</v>
      </c>
      <c r="P15">
        <f t="shared" si="1"/>
        <v>4502.0999999998603</v>
      </c>
      <c r="Q15">
        <f t="shared" si="0"/>
        <v>0.99326978207225392</v>
      </c>
      <c r="R15">
        <f t="shared" ref="R15:R51" si="2">ABS(Q15)</f>
        <v>0.99326978207225392</v>
      </c>
    </row>
    <row r="16" spans="1:24">
      <c r="A16" s="35" t="s">
        <v>48</v>
      </c>
      <c r="B16">
        <v>0.23713033953997809</v>
      </c>
      <c r="C16" s="41">
        <v>9.8104265402843602E-2</v>
      </c>
      <c r="D16" s="41">
        <v>0.14383070301291248</v>
      </c>
      <c r="E16" s="41">
        <v>0.14459259259259261</v>
      </c>
      <c r="F16" s="41">
        <v>7.6788394197098556E-2</v>
      </c>
      <c r="H16" t="s">
        <v>461</v>
      </c>
      <c r="I16">
        <v>300237.41431870667</v>
      </c>
      <c r="J16">
        <v>440108.28502415458</v>
      </c>
      <c r="K16">
        <v>621244.96458852873</v>
      </c>
      <c r="L16">
        <v>660075.30737704912</v>
      </c>
      <c r="M16">
        <v>1197661.4560260586</v>
      </c>
      <c r="N16">
        <f>P15*P20</f>
        <v>1329826.0318420336</v>
      </c>
      <c r="O16" s="35" t="s">
        <v>48</v>
      </c>
      <c r="P16">
        <f t="shared" si="1"/>
        <v>5.7830589900277118E-2</v>
      </c>
      <c r="Q16">
        <f t="shared" si="0"/>
        <v>-0.7028117100146718</v>
      </c>
      <c r="R16">
        <f t="shared" si="2"/>
        <v>0.7028117100146718</v>
      </c>
    </row>
    <row r="17" spans="1:24">
      <c r="A17" s="35" t="s">
        <v>49</v>
      </c>
      <c r="B17">
        <v>122280.2</v>
      </c>
      <c r="C17" s="41">
        <v>68400.800000000003</v>
      </c>
      <c r="D17" s="41">
        <v>138581.4</v>
      </c>
      <c r="E17" s="41">
        <v>138679.1</v>
      </c>
      <c r="F17" s="41">
        <v>132066.5</v>
      </c>
      <c r="H17" t="s">
        <v>462</v>
      </c>
      <c r="I17" s="37">
        <v>5.6110262067862356E-2</v>
      </c>
      <c r="J17" s="37">
        <v>1.3796831840297542E-2</v>
      </c>
      <c r="K17" s="37">
        <v>1.6780015282545555E-2</v>
      </c>
      <c r="L17" s="37">
        <v>6.6765109234462466E-3</v>
      </c>
      <c r="M17" s="37">
        <v>2.6062456834480331E-3</v>
      </c>
      <c r="N17" s="36">
        <f>N15/N16</f>
        <v>-4.2129570829669644E-4</v>
      </c>
      <c r="O17" s="35" t="s">
        <v>49</v>
      </c>
      <c r="P17">
        <f t="shared" si="1"/>
        <v>146956.87000000104</v>
      </c>
      <c r="Q17">
        <f t="shared" si="0"/>
        <v>0.47976263048941176</v>
      </c>
      <c r="R17">
        <f t="shared" si="2"/>
        <v>0.47976263048941176</v>
      </c>
    </row>
    <row r="18" spans="1:24">
      <c r="A18" s="35" t="s">
        <v>50</v>
      </c>
      <c r="B18">
        <v>433</v>
      </c>
      <c r="C18" s="41">
        <v>207</v>
      </c>
      <c r="D18" s="41">
        <v>401</v>
      </c>
      <c r="E18" s="41">
        <v>488</v>
      </c>
      <c r="F18" s="41">
        <v>307</v>
      </c>
      <c r="O18" s="35" t="s">
        <v>50</v>
      </c>
      <c r="P18">
        <f t="shared" si="1"/>
        <v>375.89999999999964</v>
      </c>
      <c r="Q18">
        <f t="shared" si="0"/>
        <v>4.1280229140875625E-2</v>
      </c>
      <c r="R18">
        <f t="shared" si="2"/>
        <v>4.1280229140875625E-2</v>
      </c>
      <c r="T18" s="31" t="s">
        <v>467</v>
      </c>
      <c r="U18" s="31" t="s">
        <v>470</v>
      </c>
      <c r="V18" s="31" t="s">
        <v>475</v>
      </c>
      <c r="W18" s="31" t="s">
        <v>476</v>
      </c>
      <c r="X18" s="31" t="s">
        <v>477</v>
      </c>
    </row>
    <row r="19" spans="1:24">
      <c r="A19" s="35" t="s">
        <v>51</v>
      </c>
      <c r="B19">
        <v>71195.399999999994</v>
      </c>
      <c r="C19" s="41">
        <v>43176.5</v>
      </c>
      <c r="D19" s="41">
        <v>89354.1</v>
      </c>
      <c r="E19" s="41">
        <v>95442</v>
      </c>
      <c r="F19" s="41">
        <v>91966.5</v>
      </c>
      <c r="O19" s="35" t="s">
        <v>51</v>
      </c>
      <c r="P19">
        <f t="shared" si="1"/>
        <v>106369.20999999717</v>
      </c>
      <c r="Q19">
        <f t="shared" si="0"/>
        <v>0.68290666942303724</v>
      </c>
      <c r="R19">
        <f t="shared" si="2"/>
        <v>0.68290666942303724</v>
      </c>
      <c r="T19">
        <f>P18*P20</f>
        <v>111032.98579983461</v>
      </c>
      <c r="U19">
        <f>T19-P19</f>
        <v>4663.7757998374436</v>
      </c>
      <c r="V19">
        <f>P17-T19-P21</f>
        <v>-5224.0257998337183</v>
      </c>
      <c r="W19" s="53">
        <f>V19/N16</f>
        <v>-3.9283527880692492E-3</v>
      </c>
      <c r="X19" s="49">
        <f>W19-N17</f>
        <v>-3.5070570797725528E-3</v>
      </c>
    </row>
    <row r="20" spans="1:24">
      <c r="A20" s="35" t="s">
        <v>52</v>
      </c>
      <c r="B20">
        <v>164.42355658198613</v>
      </c>
      <c r="C20" s="42">
        <v>208.58212560386474</v>
      </c>
      <c r="D20" s="42">
        <v>222.82817955112222</v>
      </c>
      <c r="E20" s="42">
        <v>195.57786885245901</v>
      </c>
      <c r="F20" s="42">
        <v>299.56514657980455</v>
      </c>
      <c r="G20" s="36"/>
      <c r="O20" s="35" t="s">
        <v>52</v>
      </c>
      <c r="P20">
        <f t="shared" si="1"/>
        <v>295.37905240711552</v>
      </c>
      <c r="Q20">
        <f t="shared" si="0"/>
        <v>0.80803597399613325</v>
      </c>
      <c r="R20">
        <f t="shared" si="2"/>
        <v>0.80803597399613325</v>
      </c>
    </row>
    <row r="21" spans="1:24">
      <c r="A21" s="35" t="s">
        <v>53</v>
      </c>
      <c r="B21">
        <v>34238.400000000001</v>
      </c>
      <c r="C21" s="41">
        <v>19152.2</v>
      </c>
      <c r="D21" s="41">
        <v>38802.800000000003</v>
      </c>
      <c r="E21" s="41">
        <v>38830.1</v>
      </c>
      <c r="F21" s="41">
        <v>36978.6</v>
      </c>
      <c r="O21" s="35" t="s">
        <v>53</v>
      </c>
      <c r="P21">
        <f t="shared" si="1"/>
        <v>41147.910000000149</v>
      </c>
      <c r="Q21">
        <f t="shared" si="0"/>
        <v>0.4797634864153118</v>
      </c>
      <c r="R21">
        <f t="shared" si="2"/>
        <v>0.4797634864153118</v>
      </c>
    </row>
    <row r="23" spans="1:24" ht="19.5">
      <c r="A23" s="38" t="s">
        <v>55</v>
      </c>
    </row>
    <row r="24" spans="1:24">
      <c r="A24" s="35" t="s">
        <v>47</v>
      </c>
      <c r="B24">
        <v>2021</v>
      </c>
      <c r="C24">
        <v>2022</v>
      </c>
      <c r="D24">
        <v>2023</v>
      </c>
      <c r="E24">
        <v>2024</v>
      </c>
      <c r="F24">
        <v>2025</v>
      </c>
      <c r="H24" t="s">
        <v>47</v>
      </c>
      <c r="I24">
        <v>2021</v>
      </c>
      <c r="J24">
        <v>2022</v>
      </c>
      <c r="K24">
        <v>2023</v>
      </c>
      <c r="L24">
        <v>2024</v>
      </c>
      <c r="M24">
        <v>2025</v>
      </c>
      <c r="N24" s="44">
        <v>2026</v>
      </c>
    </row>
    <row r="25" spans="1:24">
      <c r="A25" s="35" t="s">
        <v>12</v>
      </c>
      <c r="B25">
        <v>953</v>
      </c>
      <c r="C25" s="41">
        <v>1002</v>
      </c>
      <c r="D25" s="41">
        <v>1075</v>
      </c>
      <c r="E25" s="41">
        <v>1282</v>
      </c>
      <c r="F25" s="41">
        <v>1430</v>
      </c>
      <c r="H25" t="s">
        <v>391</v>
      </c>
      <c r="I25">
        <v>2630.4000000000051</v>
      </c>
      <c r="J25">
        <v>2705.3999999999978</v>
      </c>
      <c r="K25">
        <v>7615.8000000000065</v>
      </c>
      <c r="L25">
        <v>23221.899999999994</v>
      </c>
      <c r="M25">
        <v>20389.399999999994</v>
      </c>
      <c r="N25">
        <f>P27-P29-P31</f>
        <v>28122.930000000633</v>
      </c>
      <c r="O25" s="35" t="s">
        <v>12</v>
      </c>
      <c r="P25">
        <f t="shared" si="1"/>
        <v>1518.6000000000058</v>
      </c>
      <c r="Q25">
        <f t="shared" si="0"/>
        <v>0.96907581369781726</v>
      </c>
      <c r="R25">
        <f t="shared" si="2"/>
        <v>0.96907581369781726</v>
      </c>
    </row>
    <row r="26" spans="1:24">
      <c r="A26" s="35" t="s">
        <v>48</v>
      </c>
      <c r="B26">
        <v>0.15949632738719832</v>
      </c>
      <c r="C26" s="41">
        <v>0.19361277445109781</v>
      </c>
      <c r="D26" s="41">
        <v>0.15534883720930232</v>
      </c>
      <c r="E26" s="41">
        <v>0.18096723868954759</v>
      </c>
      <c r="F26" s="41">
        <v>0.16643356643356644</v>
      </c>
      <c r="H26" t="s">
        <v>461</v>
      </c>
      <c r="I26">
        <v>226122.44802631577</v>
      </c>
      <c r="J26">
        <v>165211.72268041238</v>
      </c>
      <c r="K26">
        <v>214225.61377245508</v>
      </c>
      <c r="L26">
        <v>290827.77844827587</v>
      </c>
      <c r="M26">
        <v>331410.9117647059</v>
      </c>
      <c r="N26">
        <f>P25*P30</f>
        <v>345162.70333514316</v>
      </c>
      <c r="O26" s="35" t="s">
        <v>48</v>
      </c>
      <c r="P26">
        <f t="shared" si="1"/>
        <v>0.17154043153349827</v>
      </c>
      <c r="Q26">
        <f t="shared" si="0"/>
        <v>1.2236422095899001E-2</v>
      </c>
      <c r="R26">
        <f t="shared" si="2"/>
        <v>1.2236422095899001E-2</v>
      </c>
    </row>
    <row r="27" spans="1:24">
      <c r="A27" s="35" t="s">
        <v>49</v>
      </c>
      <c r="B27">
        <v>51594.8</v>
      </c>
      <c r="C27" s="41">
        <v>46256.7</v>
      </c>
      <c r="D27" s="41">
        <v>54527.3</v>
      </c>
      <c r="E27" s="41">
        <v>101136.2</v>
      </c>
      <c r="F27" s="41">
        <v>100729.7</v>
      </c>
      <c r="H27" t="s">
        <v>462</v>
      </c>
      <c r="I27" s="37">
        <v>1.1632635428101695E-2</v>
      </c>
      <c r="J27" s="37">
        <v>1.6375351313498241E-2</v>
      </c>
      <c r="K27" s="37">
        <v>3.5550370779141811E-2</v>
      </c>
      <c r="L27" s="37">
        <v>7.9847599579041043E-2</v>
      </c>
      <c r="M27" s="37">
        <v>6.1523019539187644E-2</v>
      </c>
      <c r="N27" s="36">
        <f>N25/N26</f>
        <v>8.1477314113784963E-2</v>
      </c>
      <c r="O27" s="35" t="s">
        <v>49</v>
      </c>
      <c r="P27">
        <f t="shared" si="1"/>
        <v>116793.73000000045</v>
      </c>
      <c r="Q27">
        <f t="shared" si="0"/>
        <v>0.87663233013316799</v>
      </c>
      <c r="R27">
        <f t="shared" si="2"/>
        <v>0.87663233013316799</v>
      </c>
    </row>
    <row r="28" spans="1:24">
      <c r="A28" s="35" t="s">
        <v>50</v>
      </c>
      <c r="B28">
        <v>152</v>
      </c>
      <c r="C28" s="41">
        <v>194</v>
      </c>
      <c r="D28" s="41">
        <v>167</v>
      </c>
      <c r="E28" s="41">
        <v>232</v>
      </c>
      <c r="F28" s="41">
        <v>238</v>
      </c>
      <c r="O28" s="35" t="s">
        <v>50</v>
      </c>
      <c r="P28">
        <f t="shared" si="1"/>
        <v>259.59999999999854</v>
      </c>
      <c r="Q28">
        <f t="shared" si="0"/>
        <v>0.86904570874978959</v>
      </c>
      <c r="R28">
        <f t="shared" si="2"/>
        <v>0.86904570874978959</v>
      </c>
      <c r="T28" s="31" t="s">
        <v>467</v>
      </c>
      <c r="U28" s="31" t="s">
        <v>470</v>
      </c>
      <c r="V28" s="31" t="s">
        <v>475</v>
      </c>
      <c r="W28" s="31" t="s">
        <v>476</v>
      </c>
      <c r="X28" s="31" t="s">
        <v>477</v>
      </c>
    </row>
    <row r="29" spans="1:24">
      <c r="A29" s="35" t="s">
        <v>51</v>
      </c>
      <c r="B29">
        <v>36065.699999999997</v>
      </c>
      <c r="C29" s="41">
        <v>31987.1</v>
      </c>
      <c r="D29" s="41">
        <v>33279.699999999997</v>
      </c>
      <c r="E29" s="41">
        <v>52630.3</v>
      </c>
      <c r="F29" s="41">
        <v>55157.9</v>
      </c>
      <c r="O29" s="35" t="s">
        <v>51</v>
      </c>
      <c r="P29">
        <f t="shared" si="1"/>
        <v>59472.419999999925</v>
      </c>
      <c r="Q29">
        <f t="shared" si="0"/>
        <v>0.83403837255718172</v>
      </c>
      <c r="R29">
        <f t="shared" si="2"/>
        <v>0.83403837255718172</v>
      </c>
      <c r="T29">
        <f>P28*P30</f>
        <v>59004.502690505935</v>
      </c>
      <c r="U29">
        <f>T29-P29</f>
        <v>-467.91730949399062</v>
      </c>
      <c r="V29">
        <f>P27-T29-P31</f>
        <v>28590.847309494624</v>
      </c>
      <c r="W29" s="54">
        <f>V29/N26</f>
        <v>8.2832956843931438E-2</v>
      </c>
      <c r="X29" s="49">
        <f>W29-N27</f>
        <v>1.3556427301464752E-3</v>
      </c>
    </row>
    <row r="30" spans="1:24">
      <c r="A30" s="35" t="s">
        <v>52</v>
      </c>
      <c r="B30">
        <v>237.27434210526314</v>
      </c>
      <c r="C30" s="42">
        <v>164.8819587628866</v>
      </c>
      <c r="D30" s="42">
        <v>199.27964071856286</v>
      </c>
      <c r="E30" s="42">
        <v>226.85474137931035</v>
      </c>
      <c r="F30" s="42">
        <v>231.75588235294117</v>
      </c>
      <c r="G30" s="36"/>
      <c r="O30" s="35" t="s">
        <v>52</v>
      </c>
      <c r="P30">
        <f t="shared" si="1"/>
        <v>227.29007199732769</v>
      </c>
      <c r="Q30">
        <f t="shared" si="0"/>
        <v>0.26728256419409091</v>
      </c>
      <c r="R30">
        <f t="shared" si="2"/>
        <v>0.26728256419409091</v>
      </c>
    </row>
    <row r="31" spans="1:24">
      <c r="A31" s="35" t="s">
        <v>53</v>
      </c>
      <c r="B31">
        <v>12898.7</v>
      </c>
      <c r="C31" s="41">
        <v>11564.2</v>
      </c>
      <c r="D31" s="41">
        <v>13631.8</v>
      </c>
      <c r="E31" s="41">
        <v>25284</v>
      </c>
      <c r="F31" s="41">
        <v>25182.400000000001</v>
      </c>
      <c r="O31" s="35" t="s">
        <v>53</v>
      </c>
      <c r="P31">
        <f t="shared" si="1"/>
        <v>29198.379999999888</v>
      </c>
      <c r="Q31">
        <f t="shared" si="0"/>
        <v>0.87663230376673307</v>
      </c>
      <c r="R31">
        <f t="shared" si="2"/>
        <v>0.87663230376673307</v>
      </c>
    </row>
    <row r="33" spans="1:24" ht="19.5">
      <c r="A33" s="38" t="s">
        <v>56</v>
      </c>
    </row>
    <row r="34" spans="1:24">
      <c r="A34" s="35" t="s">
        <v>47</v>
      </c>
      <c r="B34">
        <v>2021</v>
      </c>
      <c r="C34">
        <v>2022</v>
      </c>
      <c r="D34">
        <v>2023</v>
      </c>
      <c r="E34">
        <v>2024</v>
      </c>
      <c r="F34">
        <v>2025</v>
      </c>
      <c r="H34" t="s">
        <v>47</v>
      </c>
      <c r="I34">
        <v>2021</v>
      </c>
      <c r="J34">
        <v>2022</v>
      </c>
      <c r="K34">
        <v>2023</v>
      </c>
      <c r="L34">
        <v>2024</v>
      </c>
      <c r="M34">
        <v>2025</v>
      </c>
      <c r="N34" s="44">
        <v>2026</v>
      </c>
    </row>
    <row r="35" spans="1:24">
      <c r="A35" s="35" t="s">
        <v>12</v>
      </c>
      <c r="B35">
        <v>12162</v>
      </c>
      <c r="C35" s="41">
        <v>12199</v>
      </c>
      <c r="D35" s="41">
        <v>11779</v>
      </c>
      <c r="E35" s="41">
        <v>12041</v>
      </c>
      <c r="F35" s="41">
        <v>12450</v>
      </c>
      <c r="H35" t="s">
        <v>391</v>
      </c>
      <c r="I35">
        <v>49961.400000000009</v>
      </c>
      <c r="J35">
        <v>47888.2</v>
      </c>
      <c r="K35">
        <v>47652.299999999996</v>
      </c>
      <c r="L35">
        <v>50195.9</v>
      </c>
      <c r="M35">
        <v>42131.299999999981</v>
      </c>
      <c r="N35">
        <f>P37-P39-P41</f>
        <v>43560.069999999832</v>
      </c>
      <c r="O35" s="35" t="s">
        <v>12</v>
      </c>
      <c r="P35">
        <f t="shared" si="1"/>
        <v>12251.599999999991</v>
      </c>
      <c r="Q35">
        <f t="shared" si="0"/>
        <v>0.27024900569189014</v>
      </c>
      <c r="R35">
        <f t="shared" si="2"/>
        <v>0.27024900569189014</v>
      </c>
    </row>
    <row r="36" spans="1:24">
      <c r="A36" s="35" t="s">
        <v>48</v>
      </c>
      <c r="B36">
        <v>0.11897714191744779</v>
      </c>
      <c r="C36" s="41">
        <v>0.11763259283547832</v>
      </c>
      <c r="D36" s="41">
        <v>0.12335512352491723</v>
      </c>
      <c r="E36" s="41">
        <v>0.12374387509343078</v>
      </c>
      <c r="F36" s="41">
        <v>0.11783132530120483</v>
      </c>
      <c r="H36" t="s">
        <v>461</v>
      </c>
      <c r="I36">
        <v>974355.22598479618</v>
      </c>
      <c r="J36">
        <v>990277.4154006968</v>
      </c>
      <c r="K36">
        <v>954933.98761183769</v>
      </c>
      <c r="L36">
        <v>963788.30798657716</v>
      </c>
      <c r="M36">
        <v>880168.3231083845</v>
      </c>
      <c r="N36">
        <f>P35*P40</f>
        <v>889817.83242394682</v>
      </c>
      <c r="O36" s="35" t="s">
        <v>48</v>
      </c>
      <c r="P36">
        <f t="shared" si="1"/>
        <v>0.12145390644213583</v>
      </c>
      <c r="Q36">
        <f t="shared" si="0"/>
        <v>0.20088645979207989</v>
      </c>
      <c r="R36">
        <f t="shared" si="2"/>
        <v>0.20088645979207989</v>
      </c>
    </row>
    <row r="37" spans="1:24">
      <c r="A37" s="35" t="s">
        <v>49</v>
      </c>
      <c r="B37">
        <v>212676.1</v>
      </c>
      <c r="C37" s="41">
        <v>210739.9</v>
      </c>
      <c r="D37" s="41">
        <v>212113.2</v>
      </c>
      <c r="E37" s="41">
        <v>217254.9</v>
      </c>
      <c r="F37" s="41">
        <v>186977.8</v>
      </c>
      <c r="H37" t="s">
        <v>462</v>
      </c>
      <c r="I37" s="37">
        <v>5.1276370945209676E-2</v>
      </c>
      <c r="J37" s="37">
        <v>4.8358368327144928E-2</v>
      </c>
      <c r="K37" s="37">
        <v>4.9901145647954191E-2</v>
      </c>
      <c r="L37" s="37">
        <v>5.2081872734960684E-2</v>
      </c>
      <c r="M37" s="37">
        <v>4.7867321390538051E-2</v>
      </c>
      <c r="N37" s="54">
        <f>N35/N36</f>
        <v>4.8953918895217163E-2</v>
      </c>
      <c r="O37" s="35" t="s">
        <v>49</v>
      </c>
      <c r="P37">
        <f t="shared" si="1"/>
        <v>194487.90000000037</v>
      </c>
      <c r="Q37">
        <f t="shared" si="0"/>
        <v>-0.5924654692404846</v>
      </c>
      <c r="R37">
        <f t="shared" si="2"/>
        <v>0.5924654692404846</v>
      </c>
    </row>
    <row r="38" spans="1:24">
      <c r="A38" s="35" t="s">
        <v>50</v>
      </c>
      <c r="B38">
        <v>1447</v>
      </c>
      <c r="C38" s="41">
        <v>1435</v>
      </c>
      <c r="D38" s="41">
        <v>1453</v>
      </c>
      <c r="E38" s="41">
        <v>1490</v>
      </c>
      <c r="F38" s="41">
        <v>1467</v>
      </c>
      <c r="O38" s="35" t="s">
        <v>50</v>
      </c>
      <c r="P38">
        <f t="shared" si="1"/>
        <v>1486.9000000000015</v>
      </c>
      <c r="Q38">
        <f t="shared" si="0"/>
        <v>0.71221517088607966</v>
      </c>
      <c r="R38">
        <f t="shared" si="2"/>
        <v>0.71221517088607966</v>
      </c>
      <c r="T38" s="31" t="s">
        <v>467</v>
      </c>
      <c r="U38" s="31" t="s">
        <v>470</v>
      </c>
      <c r="V38" s="31" t="s">
        <v>475</v>
      </c>
      <c r="W38" s="31" t="s">
        <v>476</v>
      </c>
      <c r="X38" s="31" t="s">
        <v>477</v>
      </c>
    </row>
    <row r="39" spans="1:24">
      <c r="A39" s="35" t="s">
        <v>51</v>
      </c>
      <c r="B39">
        <v>115926</v>
      </c>
      <c r="C39" s="41">
        <v>116488.9</v>
      </c>
      <c r="D39" s="41">
        <v>117796</v>
      </c>
      <c r="E39" s="41">
        <v>119262.9</v>
      </c>
      <c r="F39" s="41">
        <v>103711.4</v>
      </c>
      <c r="O39" s="35" t="s">
        <v>51</v>
      </c>
      <c r="P39">
        <f t="shared" si="1"/>
        <v>108140.48000000045</v>
      </c>
      <c r="Q39">
        <f t="shared" si="0"/>
        <v>-0.54856170435252616</v>
      </c>
      <c r="R39">
        <f t="shared" si="2"/>
        <v>0.54856170435252616</v>
      </c>
      <c r="T39">
        <f>P38*P40</f>
        <v>107991.6202807118</v>
      </c>
      <c r="U39">
        <f>T39-P39</f>
        <v>-148.85971928865183</v>
      </c>
      <c r="V39">
        <f>P37-T39-P41</f>
        <v>43708.929719288484</v>
      </c>
      <c r="W39" s="54">
        <f>V39/N36</f>
        <v>4.9121211248622967E-2</v>
      </c>
      <c r="X39" s="55">
        <f>W39-N37</f>
        <v>1.6729235340580406E-4</v>
      </c>
    </row>
    <row r="40" spans="1:24">
      <c r="A40" s="35" t="s">
        <v>52</v>
      </c>
      <c r="B40">
        <v>80.1147201105736</v>
      </c>
      <c r="C40" s="42">
        <v>81.176933797909399</v>
      </c>
      <c r="D40" s="42">
        <v>81.070887818306957</v>
      </c>
      <c r="E40" s="42">
        <v>80.042214765100667</v>
      </c>
      <c r="F40" s="42">
        <v>70.696250852079075</v>
      </c>
      <c r="G40" s="36"/>
      <c r="O40" s="35" t="s">
        <v>52</v>
      </c>
      <c r="P40">
        <f t="shared" si="1"/>
        <v>72.628704203854795</v>
      </c>
      <c r="Q40">
        <f t="shared" si="0"/>
        <v>-0.70793246565257817</v>
      </c>
      <c r="R40">
        <f t="shared" si="2"/>
        <v>0.70793246565257817</v>
      </c>
    </row>
    <row r="41" spans="1:24">
      <c r="A41" s="35" t="s">
        <v>53</v>
      </c>
      <c r="B41">
        <v>46788.7</v>
      </c>
      <c r="C41" s="41">
        <v>46362.8</v>
      </c>
      <c r="D41" s="41">
        <v>46664.9</v>
      </c>
      <c r="E41" s="41">
        <v>47796.1</v>
      </c>
      <c r="F41" s="41">
        <v>41135.1</v>
      </c>
      <c r="O41" s="35" t="s">
        <v>53</v>
      </c>
      <c r="P41">
        <f t="shared" si="1"/>
        <v>42787.350000000093</v>
      </c>
      <c r="Q41">
        <f t="shared" si="0"/>
        <v>-0.59246053515739494</v>
      </c>
      <c r="R41">
        <f t="shared" si="2"/>
        <v>0.59246053515739494</v>
      </c>
    </row>
    <row r="43" spans="1:24" ht="19.5">
      <c r="A43" s="38" t="s">
        <v>57</v>
      </c>
    </row>
    <row r="44" spans="1:24">
      <c r="A44" s="35" t="s">
        <v>47</v>
      </c>
      <c r="B44">
        <v>2021</v>
      </c>
      <c r="C44">
        <v>2022</v>
      </c>
      <c r="D44">
        <v>2023</v>
      </c>
      <c r="E44">
        <v>2024</v>
      </c>
      <c r="F44">
        <v>2025</v>
      </c>
      <c r="H44" t="s">
        <v>47</v>
      </c>
      <c r="I44">
        <v>2021</v>
      </c>
      <c r="J44">
        <v>2022</v>
      </c>
      <c r="K44">
        <v>2023</v>
      </c>
      <c r="L44">
        <v>2024</v>
      </c>
      <c r="M44">
        <v>2025</v>
      </c>
      <c r="N44" s="44">
        <v>2026</v>
      </c>
    </row>
    <row r="45" spans="1:24">
      <c r="A45" s="35" t="s">
        <v>12</v>
      </c>
      <c r="B45">
        <v>8946</v>
      </c>
      <c r="C45" s="41">
        <v>9247</v>
      </c>
      <c r="D45" s="41">
        <v>9132</v>
      </c>
      <c r="E45" s="41">
        <v>9369</v>
      </c>
      <c r="F45" s="41">
        <v>9454</v>
      </c>
      <c r="H45" t="s">
        <v>391</v>
      </c>
      <c r="I45">
        <v>22410.900000000009</v>
      </c>
      <c r="J45">
        <v>28150.800000000017</v>
      </c>
      <c r="K45">
        <v>17582</v>
      </c>
      <c r="L45">
        <v>44007.5</v>
      </c>
      <c r="M45">
        <v>48590.500000000029</v>
      </c>
      <c r="N45">
        <f>P47-P49-P51</f>
        <v>52613.109999999404</v>
      </c>
      <c r="O45" s="35" t="s">
        <v>12</v>
      </c>
      <c r="P45">
        <f t="shared" si="1"/>
        <v>9571</v>
      </c>
      <c r="Q45">
        <f t="shared" si="0"/>
        <v>0.89954094313204291</v>
      </c>
      <c r="R45">
        <f t="shared" si="2"/>
        <v>0.89954094313204291</v>
      </c>
    </row>
    <row r="46" spans="1:24">
      <c r="A46" s="35" t="s">
        <v>48</v>
      </c>
      <c r="B46">
        <v>0.10764587525150905</v>
      </c>
      <c r="C46" s="41">
        <v>0.11117119065642911</v>
      </c>
      <c r="D46" s="41">
        <v>9.2203241349102058E-2</v>
      </c>
      <c r="E46" s="41">
        <v>0.16543921443056889</v>
      </c>
      <c r="F46" s="41">
        <v>0.14766236513645017</v>
      </c>
      <c r="H46" t="s">
        <v>461</v>
      </c>
      <c r="I46">
        <v>773905.1757009346</v>
      </c>
      <c r="J46">
        <v>1006433.4054474707</v>
      </c>
      <c r="K46">
        <v>818540.6380047506</v>
      </c>
      <c r="L46">
        <v>1082413.263483871</v>
      </c>
      <c r="M46">
        <v>1239590.0595988538</v>
      </c>
      <c r="N46">
        <f>P45*P50</f>
        <v>1293039.0967613496</v>
      </c>
      <c r="O46" s="35" t="s">
        <v>48</v>
      </c>
      <c r="P46">
        <f t="shared" si="1"/>
        <v>0.16511467842801864</v>
      </c>
      <c r="Q46">
        <f t="shared" si="0"/>
        <v>0.69661911022354306</v>
      </c>
      <c r="R46">
        <f t="shared" si="2"/>
        <v>0.69661911022354306</v>
      </c>
    </row>
    <row r="47" spans="1:24">
      <c r="A47" s="35" t="s">
        <v>49</v>
      </c>
      <c r="B47">
        <v>140958.1</v>
      </c>
      <c r="C47" s="41">
        <v>186716.2</v>
      </c>
      <c r="D47" s="41">
        <v>124072.1</v>
      </c>
      <c r="E47" s="41">
        <v>297441.5</v>
      </c>
      <c r="F47" s="41">
        <v>308841.7</v>
      </c>
      <c r="H47" t="s">
        <v>462</v>
      </c>
      <c r="I47" s="37">
        <v>2.8958198890067125E-2</v>
      </c>
      <c r="J47" s="37">
        <v>2.7970852167296535E-2</v>
      </c>
      <c r="K47" s="37">
        <v>2.1479691030194103E-2</v>
      </c>
      <c r="L47" s="37">
        <v>4.0656837350973349E-2</v>
      </c>
      <c r="M47" s="37">
        <v>3.9198846121535125E-2</v>
      </c>
      <c r="N47" s="36">
        <f>N45/N46</f>
        <v>4.0689496653100794E-2</v>
      </c>
      <c r="O47" s="35" t="s">
        <v>49</v>
      </c>
      <c r="P47">
        <f t="shared" si="1"/>
        <v>345553.67000000179</v>
      </c>
      <c r="Q47">
        <f t="shared" si="0"/>
        <v>0.8138879943834606</v>
      </c>
      <c r="R47">
        <f t="shared" si="2"/>
        <v>0.8138879943834606</v>
      </c>
    </row>
    <row r="48" spans="1:24">
      <c r="A48" s="35" t="s">
        <v>50</v>
      </c>
      <c r="B48">
        <v>963</v>
      </c>
      <c r="C48" s="41">
        <v>1028</v>
      </c>
      <c r="D48" s="41">
        <v>842</v>
      </c>
      <c r="E48" s="41">
        <v>1550</v>
      </c>
      <c r="F48" s="41">
        <v>1396</v>
      </c>
      <c r="O48" s="35" t="s">
        <v>50</v>
      </c>
      <c r="P48">
        <f t="shared" si="1"/>
        <v>1572.2000000000116</v>
      </c>
      <c r="Q48">
        <f t="shared" si="0"/>
        <v>0.72644792272470438</v>
      </c>
      <c r="R48">
        <f t="shared" si="2"/>
        <v>0.72644792272470438</v>
      </c>
      <c r="T48" s="31" t="s">
        <v>467</v>
      </c>
      <c r="U48" s="31" t="s">
        <v>470</v>
      </c>
      <c r="V48" s="31" t="s">
        <v>475</v>
      </c>
      <c r="W48" s="31" t="s">
        <v>476</v>
      </c>
      <c r="X48" s="31" t="s">
        <v>477</v>
      </c>
    </row>
    <row r="49" spans="1:24">
      <c r="A49" s="35" t="s">
        <v>51</v>
      </c>
      <c r="B49">
        <v>83307.7</v>
      </c>
      <c r="C49" s="41">
        <v>111886.39999999999</v>
      </c>
      <c r="D49" s="41">
        <v>75472.100000000006</v>
      </c>
      <c r="E49" s="41">
        <v>179073.6</v>
      </c>
      <c r="F49" s="41">
        <v>183040.8</v>
      </c>
      <c r="O49" s="35" t="s">
        <v>51</v>
      </c>
      <c r="P49">
        <f>_xlfn.FORECAST.LINEAR(2026,B49:F49,$B$4:$F$4)</f>
        <v>206552.1400000006</v>
      </c>
      <c r="Q49">
        <f t="shared" si="0"/>
        <v>0.81733218613232517</v>
      </c>
      <c r="R49">
        <f t="shared" si="2"/>
        <v>0.81733218613232517</v>
      </c>
      <c r="T49">
        <f>P48*P50</f>
        <v>212403.7266668278</v>
      </c>
      <c r="U49">
        <f>T49-P49</f>
        <v>5851.5866668272065</v>
      </c>
      <c r="V49">
        <f>P47-T49-P51</f>
        <v>46761.523333172197</v>
      </c>
      <c r="W49">
        <f>V49/N46</f>
        <v>3.6164044420849216E-2</v>
      </c>
      <c r="X49" s="49">
        <f>W49-N47</f>
        <v>-4.5254522322515783E-3</v>
      </c>
    </row>
    <row r="50" spans="1:24">
      <c r="A50" s="35" t="s">
        <v>52</v>
      </c>
      <c r="B50">
        <v>86.508515057113186</v>
      </c>
      <c r="C50" s="42">
        <v>108.83891050583657</v>
      </c>
      <c r="D50" s="42">
        <v>89.634323040380053</v>
      </c>
      <c r="E50" s="42">
        <v>115.53135483870967</v>
      </c>
      <c r="F50" s="42">
        <v>131.11805157593122</v>
      </c>
      <c r="G50" s="36"/>
      <c r="O50" s="35" t="s">
        <v>52</v>
      </c>
      <c r="P50">
        <f>_xlfn.FORECAST.LINEAR(2026,B50:F50,$B$4:$F$4)</f>
        <v>135.09968621474763</v>
      </c>
      <c r="Q50">
        <f t="shared" si="0"/>
        <v>0.81732892921088329</v>
      </c>
      <c r="R50">
        <f t="shared" si="2"/>
        <v>0.81732892921088329</v>
      </c>
    </row>
    <row r="51" spans="1:24">
      <c r="A51" s="35" t="s">
        <v>53</v>
      </c>
      <c r="B51">
        <v>35239.5</v>
      </c>
      <c r="C51" s="41">
        <v>46679</v>
      </c>
      <c r="D51" s="41">
        <v>31018</v>
      </c>
      <c r="E51" s="41">
        <v>74360.399999999994</v>
      </c>
      <c r="F51" s="41">
        <v>77210.399999999994</v>
      </c>
      <c r="O51" s="35" t="s">
        <v>53</v>
      </c>
      <c r="P51">
        <f t="shared" ref="P51" si="3">_xlfn.FORECAST.LINEAR(2026,B51:F51,$B$4:$F$4)</f>
        <v>86388.420000001788</v>
      </c>
      <c r="Q51">
        <f t="shared" si="0"/>
        <v>0.81388800966468611</v>
      </c>
      <c r="R51">
        <f t="shared" si="2"/>
        <v>0.81388800966468611</v>
      </c>
    </row>
    <row r="58" spans="1:24">
      <c r="O58" s="41"/>
      <c r="P58" s="41"/>
      <c r="Q58" s="41"/>
      <c r="R58" s="41"/>
    </row>
    <row r="59" spans="1:24">
      <c r="F59" s="46" t="s">
        <v>471</v>
      </c>
      <c r="O59" s="41"/>
      <c r="P59" s="41"/>
      <c r="Q59" s="41"/>
      <c r="R59" s="41"/>
    </row>
    <row r="60" spans="1:24">
      <c r="F60" s="45" t="s">
        <v>472</v>
      </c>
      <c r="H60" t="s">
        <v>47</v>
      </c>
      <c r="I60" t="s">
        <v>391</v>
      </c>
      <c r="J60" t="s">
        <v>461</v>
      </c>
      <c r="K60" t="s">
        <v>462</v>
      </c>
      <c r="O60" s="41"/>
      <c r="P60" s="41"/>
      <c r="Q60" s="41"/>
      <c r="R60" s="41"/>
    </row>
    <row r="61" spans="1:24">
      <c r="H61">
        <v>2021</v>
      </c>
      <c r="I61">
        <v>13032.800000000003</v>
      </c>
      <c r="J61">
        <v>377839.90138067061</v>
      </c>
      <c r="K61" s="37">
        <v>3.4492916053536556E-2</v>
      </c>
      <c r="O61" s="41"/>
      <c r="P61" s="41"/>
      <c r="Q61" s="41"/>
      <c r="R61" s="41"/>
    </row>
    <row r="62" spans="1:24">
      <c r="H62">
        <v>2022</v>
      </c>
      <c r="I62">
        <v>7363.0999999999949</v>
      </c>
      <c r="J62">
        <v>396290.01640316204</v>
      </c>
      <c r="K62" s="37">
        <v>1.8580079475202353E-2</v>
      </c>
      <c r="O62" s="41"/>
      <c r="P62" s="41"/>
      <c r="Q62" s="41"/>
      <c r="R62" s="41"/>
    </row>
    <row r="63" spans="1:24">
      <c r="H63">
        <v>2023</v>
      </c>
      <c r="I63">
        <v>12244.199999999997</v>
      </c>
      <c r="J63">
        <v>476740.62</v>
      </c>
      <c r="K63" s="37">
        <v>2.5683148207509561E-2</v>
      </c>
      <c r="O63" s="41"/>
      <c r="P63" s="41"/>
      <c r="Q63" s="41"/>
      <c r="R63" s="41"/>
    </row>
    <row r="64" spans="1:24">
      <c r="H64">
        <v>2024</v>
      </c>
      <c r="I64">
        <v>9871.1000000000022</v>
      </c>
      <c r="J64">
        <v>486268.84465849382</v>
      </c>
      <c r="K64" s="37">
        <v>2.0299676009332794E-2</v>
      </c>
      <c r="O64" s="41"/>
      <c r="P64" s="41"/>
      <c r="Q64" s="41"/>
      <c r="R64" s="41"/>
    </row>
    <row r="65" spans="6:11">
      <c r="H65">
        <v>2025</v>
      </c>
      <c r="I65">
        <v>19216.000000000007</v>
      </c>
      <c r="J65">
        <v>499439.97209302324</v>
      </c>
      <c r="K65" s="37">
        <v>3.847509425301051E-2</v>
      </c>
    </row>
    <row r="66" spans="6:11">
      <c r="H66" s="44">
        <v>2026</v>
      </c>
      <c r="I66">
        <v>16807.760000000242</v>
      </c>
      <c r="J66">
        <v>552503.89425754792</v>
      </c>
      <c r="K66" s="48">
        <v>3.0421070647088252E-2</v>
      </c>
    </row>
    <row r="71" spans="6:11">
      <c r="F71" s="45" t="s">
        <v>54</v>
      </c>
      <c r="H71" t="s">
        <v>47</v>
      </c>
      <c r="I71" t="s">
        <v>391</v>
      </c>
      <c r="J71" t="s">
        <v>461</v>
      </c>
      <c r="K71" t="s">
        <v>462</v>
      </c>
    </row>
    <row r="72" spans="6:11">
      <c r="H72">
        <v>2021</v>
      </c>
      <c r="I72">
        <v>16846.400000000001</v>
      </c>
      <c r="J72">
        <v>300237.41431870667</v>
      </c>
      <c r="K72" s="37">
        <v>5.6110262067862356E-2</v>
      </c>
    </row>
    <row r="73" spans="6:11">
      <c r="H73">
        <v>2022</v>
      </c>
      <c r="I73">
        <v>6072.1000000000022</v>
      </c>
      <c r="J73">
        <v>440108.28502415458</v>
      </c>
      <c r="K73" s="37">
        <v>1.3796831840297542E-2</v>
      </c>
    </row>
    <row r="74" spans="6:11">
      <c r="H74">
        <v>2023</v>
      </c>
      <c r="I74">
        <v>10424.499999999985</v>
      </c>
      <c r="J74">
        <v>621244.96458852873</v>
      </c>
      <c r="K74" s="37">
        <v>1.6780015282545555E-2</v>
      </c>
    </row>
    <row r="75" spans="6:11">
      <c r="H75">
        <v>2024</v>
      </c>
      <c r="I75">
        <v>4407.0000000000073</v>
      </c>
      <c r="J75">
        <v>660075.30737704912</v>
      </c>
      <c r="K75" s="37">
        <v>6.6765109234462466E-3</v>
      </c>
    </row>
    <row r="76" spans="6:11">
      <c r="H76">
        <v>2025</v>
      </c>
      <c r="I76">
        <v>3121.4000000000015</v>
      </c>
      <c r="J76">
        <v>1197661.4560260586</v>
      </c>
      <c r="K76" s="37">
        <v>2.6062456834480331E-3</v>
      </c>
    </row>
    <row r="77" spans="6:11">
      <c r="H77">
        <v>2026</v>
      </c>
      <c r="I77">
        <v>-560.24999999627471</v>
      </c>
      <c r="J77">
        <v>1329826.0318420336</v>
      </c>
      <c r="K77" s="48">
        <v>-4.2129570829669644E-4</v>
      </c>
    </row>
    <row r="79" spans="6:11">
      <c r="F79" s="45" t="s">
        <v>55</v>
      </c>
      <c r="H79" t="s">
        <v>47</v>
      </c>
      <c r="I79" t="s">
        <v>391</v>
      </c>
      <c r="J79" t="s">
        <v>461</v>
      </c>
      <c r="K79" t="s">
        <v>462</v>
      </c>
    </row>
    <row r="80" spans="6:11">
      <c r="H80">
        <v>2021</v>
      </c>
      <c r="I80">
        <v>2630.4000000000051</v>
      </c>
      <c r="J80">
        <v>226122.44802631577</v>
      </c>
      <c r="K80" s="37">
        <v>1.1632635428101695E-2</v>
      </c>
    </row>
    <row r="81" spans="6:11">
      <c r="H81">
        <v>2022</v>
      </c>
      <c r="I81">
        <v>2705.3999999999978</v>
      </c>
      <c r="J81">
        <v>165211.72268041238</v>
      </c>
      <c r="K81" s="37">
        <v>1.6375351313498241E-2</v>
      </c>
    </row>
    <row r="82" spans="6:11">
      <c r="H82">
        <v>2023</v>
      </c>
      <c r="I82">
        <v>7615.8000000000065</v>
      </c>
      <c r="J82">
        <v>214225.61377245508</v>
      </c>
      <c r="K82" s="37">
        <v>3.5550370779141811E-2</v>
      </c>
    </row>
    <row r="83" spans="6:11">
      <c r="H83">
        <v>2024</v>
      </c>
      <c r="I83">
        <v>23221.899999999994</v>
      </c>
      <c r="J83">
        <v>290827.77844827587</v>
      </c>
      <c r="K83" s="37">
        <v>7.9847599579041043E-2</v>
      </c>
    </row>
    <row r="84" spans="6:11">
      <c r="H84">
        <v>2025</v>
      </c>
      <c r="I84">
        <v>20389.399999999994</v>
      </c>
      <c r="J84">
        <v>331410.9117647059</v>
      </c>
      <c r="K84" s="37">
        <v>6.1523019539187644E-2</v>
      </c>
    </row>
    <row r="85" spans="6:11">
      <c r="H85">
        <v>2026</v>
      </c>
      <c r="I85">
        <v>28122.930000000633</v>
      </c>
      <c r="J85">
        <v>345162.70333514316</v>
      </c>
      <c r="K85" s="48">
        <v>8.1477314113784963E-2</v>
      </c>
    </row>
    <row r="88" spans="6:11">
      <c r="F88" s="45" t="s">
        <v>56</v>
      </c>
      <c r="H88" t="s">
        <v>47</v>
      </c>
      <c r="I88" t="s">
        <v>391</v>
      </c>
      <c r="J88" t="s">
        <v>461</v>
      </c>
      <c r="K88" t="s">
        <v>462</v>
      </c>
    </row>
    <row r="89" spans="6:11">
      <c r="H89">
        <v>2021</v>
      </c>
      <c r="I89">
        <v>49961.400000000009</v>
      </c>
      <c r="J89">
        <v>974355.22598479618</v>
      </c>
      <c r="K89" s="37">
        <v>5.1276370945209676E-2</v>
      </c>
    </row>
    <row r="90" spans="6:11">
      <c r="H90">
        <v>2022</v>
      </c>
      <c r="I90">
        <v>47888.2</v>
      </c>
      <c r="J90">
        <v>990277.4154006968</v>
      </c>
      <c r="K90" s="37">
        <v>4.8358368327144928E-2</v>
      </c>
    </row>
    <row r="91" spans="6:11">
      <c r="H91">
        <v>2023</v>
      </c>
      <c r="I91">
        <v>47652.299999999996</v>
      </c>
      <c r="J91">
        <v>954933.98761183769</v>
      </c>
      <c r="K91" s="37">
        <v>4.9901145647954191E-2</v>
      </c>
    </row>
    <row r="92" spans="6:11">
      <c r="H92">
        <v>2024</v>
      </c>
      <c r="I92">
        <v>50195.9</v>
      </c>
      <c r="J92">
        <v>963788.30798657716</v>
      </c>
      <c r="K92" s="37">
        <v>5.2081872734960684E-2</v>
      </c>
    </row>
    <row r="93" spans="6:11">
      <c r="H93">
        <v>2025</v>
      </c>
      <c r="I93">
        <v>42131.299999999981</v>
      </c>
      <c r="J93">
        <v>880168.3231083845</v>
      </c>
      <c r="K93" s="37">
        <v>4.7867321390538051E-2</v>
      </c>
    </row>
    <row r="94" spans="6:11">
      <c r="H94">
        <v>2026</v>
      </c>
      <c r="I94">
        <v>43560.069999999832</v>
      </c>
      <c r="J94">
        <v>889817.83242394682</v>
      </c>
      <c r="K94" s="47">
        <v>4.8953918895217163E-2</v>
      </c>
    </row>
    <row r="96" spans="6:11">
      <c r="F96" s="45" t="s">
        <v>57</v>
      </c>
      <c r="H96" t="s">
        <v>47</v>
      </c>
      <c r="I96" t="s">
        <v>391</v>
      </c>
      <c r="J96" t="s">
        <v>461</v>
      </c>
      <c r="K96" t="s">
        <v>462</v>
      </c>
    </row>
    <row r="97" spans="8:11">
      <c r="H97">
        <v>2021</v>
      </c>
      <c r="I97">
        <v>22410.900000000009</v>
      </c>
      <c r="J97">
        <v>773905.1757009346</v>
      </c>
      <c r="K97" s="48">
        <v>2.8958198890067125E-2</v>
      </c>
    </row>
    <row r="98" spans="8:11">
      <c r="H98">
        <v>2022</v>
      </c>
      <c r="I98">
        <v>28150.800000000017</v>
      </c>
      <c r="J98">
        <v>1006433.4054474707</v>
      </c>
      <c r="K98" s="48">
        <v>2.7970852167296535E-2</v>
      </c>
    </row>
    <row r="99" spans="8:11">
      <c r="H99">
        <v>2023</v>
      </c>
      <c r="I99">
        <v>17582</v>
      </c>
      <c r="J99">
        <v>818540.6380047506</v>
      </c>
      <c r="K99" s="48">
        <v>2.1479691030194103E-2</v>
      </c>
    </row>
    <row r="100" spans="8:11">
      <c r="H100">
        <v>2024</v>
      </c>
      <c r="I100">
        <v>44007.5</v>
      </c>
      <c r="J100">
        <v>1082413.263483871</v>
      </c>
      <c r="K100" s="48">
        <v>4.0656837350973349E-2</v>
      </c>
    </row>
    <row r="101" spans="8:11">
      <c r="H101">
        <v>2025</v>
      </c>
      <c r="I101">
        <v>48590.500000000029</v>
      </c>
      <c r="J101">
        <v>1239590.0595988538</v>
      </c>
      <c r="K101" s="48">
        <v>3.9198846121535125E-2</v>
      </c>
    </row>
    <row r="102" spans="8:11">
      <c r="H102">
        <v>2026</v>
      </c>
      <c r="I102">
        <v>52613.109999999404</v>
      </c>
      <c r="J102">
        <v>1293039.0967613496</v>
      </c>
      <c r="K102" s="48">
        <v>4.0689496653100794E-2</v>
      </c>
    </row>
  </sheetData>
  <conditionalFormatting sqref="R5:R5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BB0C1-A5BA-0B43-B166-5B55CEB0F369}">
  <dimension ref="A3:L119"/>
  <sheetViews>
    <sheetView topLeftCell="C1" workbookViewId="0">
      <selection activeCell="I133" sqref="I133"/>
    </sheetView>
  </sheetViews>
  <sheetFormatPr defaultColWidth="11.42578125" defaultRowHeight="12.75"/>
  <cols>
    <col min="1" max="1" width="13.140625" bestFit="1" customWidth="1"/>
    <col min="2" max="2" width="20.42578125" bestFit="1" customWidth="1"/>
    <col min="3" max="3" width="24.5703125" customWidth="1"/>
    <col min="4" max="5" width="15.85546875" bestFit="1" customWidth="1"/>
    <col min="6" max="6" width="13.85546875" bestFit="1" customWidth="1"/>
    <col min="7" max="7" width="22.7109375" bestFit="1" customWidth="1"/>
    <col min="8" max="8" width="9" bestFit="1" customWidth="1"/>
    <col min="9" max="9" width="13.85546875" bestFit="1" customWidth="1"/>
    <col min="10" max="10" width="20" bestFit="1" customWidth="1"/>
    <col min="11" max="11" width="13.85546875" bestFit="1" customWidth="1"/>
    <col min="12" max="12" width="20" bestFit="1" customWidth="1"/>
    <col min="13" max="13" width="11.7109375" bestFit="1" customWidth="1"/>
  </cols>
  <sheetData>
    <row r="3" spans="1:12">
      <c r="A3" s="28" t="s">
        <v>387</v>
      </c>
      <c r="B3" t="s">
        <v>473</v>
      </c>
      <c r="K3" s="28" t="s">
        <v>387</v>
      </c>
      <c r="L3" t="s">
        <v>474</v>
      </c>
    </row>
    <row r="4" spans="1:12">
      <c r="A4" s="29">
        <v>2021</v>
      </c>
      <c r="B4">
        <v>13032.800000000003</v>
      </c>
      <c r="K4" s="29">
        <v>2021</v>
      </c>
      <c r="L4">
        <v>3.4492916053536556E-2</v>
      </c>
    </row>
    <row r="5" spans="1:12">
      <c r="A5" s="29">
        <v>2022</v>
      </c>
      <c r="B5">
        <v>7363.0999999999949</v>
      </c>
      <c r="K5" s="29">
        <v>2022</v>
      </c>
      <c r="L5">
        <v>1.8580079475202353E-2</v>
      </c>
    </row>
    <row r="6" spans="1:12">
      <c r="A6" s="29">
        <v>2023</v>
      </c>
      <c r="B6">
        <v>12244.199999999997</v>
      </c>
      <c r="K6" s="29">
        <v>2023</v>
      </c>
      <c r="L6">
        <v>2.5683148207509561E-2</v>
      </c>
    </row>
    <row r="7" spans="1:12">
      <c r="A7" s="29">
        <v>2024</v>
      </c>
      <c r="B7">
        <v>9871.1000000000022</v>
      </c>
      <c r="K7" s="29">
        <v>2024</v>
      </c>
      <c r="L7">
        <v>2.0299676009332794E-2</v>
      </c>
    </row>
    <row r="8" spans="1:12">
      <c r="A8" s="29">
        <v>2025</v>
      </c>
      <c r="B8">
        <v>19216.000000000007</v>
      </c>
      <c r="K8" s="29">
        <v>2025</v>
      </c>
      <c r="L8">
        <v>3.847509425301051E-2</v>
      </c>
    </row>
    <row r="9" spans="1:12">
      <c r="A9" s="29">
        <v>2026</v>
      </c>
      <c r="B9">
        <v>16807.760000000242</v>
      </c>
      <c r="K9" s="29">
        <v>2026</v>
      </c>
      <c r="L9">
        <v>3.0421070647088252E-2</v>
      </c>
    </row>
    <row r="10" spans="1:12">
      <c r="A10" s="29" t="s">
        <v>388</v>
      </c>
      <c r="B10">
        <v>78534.960000000254</v>
      </c>
      <c r="K10" s="29" t="s">
        <v>388</v>
      </c>
      <c r="L10">
        <v>0.16795198464568006</v>
      </c>
    </row>
    <row r="18" spans="1:12">
      <c r="A18" s="28" t="s">
        <v>387</v>
      </c>
      <c r="B18" t="s">
        <v>473</v>
      </c>
    </row>
    <row r="19" spans="1:12">
      <c r="A19" s="29">
        <v>2021</v>
      </c>
      <c r="B19">
        <v>16846.400000000001</v>
      </c>
    </row>
    <row r="20" spans="1:12">
      <c r="A20" s="29">
        <v>2022</v>
      </c>
      <c r="B20">
        <v>6072.1000000000022</v>
      </c>
    </row>
    <row r="21" spans="1:12">
      <c r="A21" s="29">
        <v>2023</v>
      </c>
      <c r="B21">
        <v>10424.499999999985</v>
      </c>
    </row>
    <row r="22" spans="1:12">
      <c r="A22" s="29">
        <v>2024</v>
      </c>
      <c r="B22">
        <v>4407.0000000000073</v>
      </c>
    </row>
    <row r="23" spans="1:12">
      <c r="A23" s="29">
        <v>2025</v>
      </c>
      <c r="B23">
        <v>3121.4000000000015</v>
      </c>
    </row>
    <row r="24" spans="1:12">
      <c r="A24" s="29">
        <v>2026</v>
      </c>
      <c r="B24">
        <v>-560.24999999627471</v>
      </c>
    </row>
    <row r="25" spans="1:12">
      <c r="A25" s="29" t="s">
        <v>388</v>
      </c>
      <c r="B25">
        <v>40311.150000003719</v>
      </c>
    </row>
    <row r="26" spans="1:12">
      <c r="K26" s="28" t="s">
        <v>387</v>
      </c>
      <c r="L26" t="s">
        <v>474</v>
      </c>
    </row>
    <row r="27" spans="1:12">
      <c r="K27" s="29">
        <v>2021</v>
      </c>
      <c r="L27" s="66">
        <v>5.6110262067862356E-2</v>
      </c>
    </row>
    <row r="28" spans="1:12">
      <c r="K28" s="29">
        <v>2022</v>
      </c>
      <c r="L28" s="66">
        <v>1.3796831840297542E-2</v>
      </c>
    </row>
    <row r="29" spans="1:12">
      <c r="K29" s="29">
        <v>2023</v>
      </c>
      <c r="L29" s="66">
        <v>1.6780015282545555E-2</v>
      </c>
    </row>
    <row r="30" spans="1:12">
      <c r="A30" s="28" t="s">
        <v>387</v>
      </c>
      <c r="B30" t="s">
        <v>473</v>
      </c>
      <c r="K30" s="29">
        <v>2024</v>
      </c>
      <c r="L30" s="66">
        <v>6.6765109234462466E-3</v>
      </c>
    </row>
    <row r="31" spans="1:12">
      <c r="A31" s="29">
        <v>2021</v>
      </c>
      <c r="B31">
        <v>2630.4000000000051</v>
      </c>
      <c r="K31" s="29">
        <v>2025</v>
      </c>
      <c r="L31" s="66">
        <v>2.6062456834480331E-3</v>
      </c>
    </row>
    <row r="32" spans="1:12">
      <c r="A32" s="29">
        <v>2022</v>
      </c>
      <c r="B32">
        <v>2705.3999999999978</v>
      </c>
      <c r="K32" s="29">
        <v>2026</v>
      </c>
      <c r="L32" s="66">
        <v>-4.2129570829669644E-4</v>
      </c>
    </row>
    <row r="33" spans="1:12">
      <c r="A33" s="29">
        <v>2023</v>
      </c>
      <c r="B33">
        <v>7615.8000000000065</v>
      </c>
      <c r="K33" s="29" t="s">
        <v>388</v>
      </c>
      <c r="L33" s="66">
        <v>9.5548570089303023E-2</v>
      </c>
    </row>
    <row r="34" spans="1:12">
      <c r="A34" s="29">
        <v>2024</v>
      </c>
      <c r="B34">
        <v>23221.899999999994</v>
      </c>
    </row>
    <row r="35" spans="1:12">
      <c r="A35" s="29">
        <v>2025</v>
      </c>
      <c r="B35">
        <v>20389.399999999994</v>
      </c>
    </row>
    <row r="36" spans="1:12">
      <c r="A36" s="29">
        <v>2026</v>
      </c>
      <c r="B36">
        <v>28122.930000000633</v>
      </c>
    </row>
    <row r="37" spans="1:12">
      <c r="A37" s="29" t="s">
        <v>388</v>
      </c>
      <c r="B37">
        <v>84685.830000000627</v>
      </c>
    </row>
    <row r="41" spans="1:12">
      <c r="A41" s="28" t="s">
        <v>387</v>
      </c>
      <c r="B41" t="s">
        <v>473</v>
      </c>
    </row>
    <row r="42" spans="1:12">
      <c r="A42" s="29">
        <v>2021</v>
      </c>
      <c r="B42">
        <v>49961.400000000009</v>
      </c>
    </row>
    <row r="43" spans="1:12">
      <c r="A43" s="29">
        <v>2022</v>
      </c>
      <c r="B43">
        <v>47888.2</v>
      </c>
    </row>
    <row r="44" spans="1:12">
      <c r="A44" s="29">
        <v>2023</v>
      </c>
      <c r="B44">
        <v>47652.299999999996</v>
      </c>
    </row>
    <row r="45" spans="1:12">
      <c r="A45" s="29">
        <v>2024</v>
      </c>
      <c r="B45">
        <v>50195.9</v>
      </c>
    </row>
    <row r="46" spans="1:12">
      <c r="A46" s="29">
        <v>2025</v>
      </c>
      <c r="B46">
        <v>42131.299999999981</v>
      </c>
    </row>
    <row r="47" spans="1:12">
      <c r="A47" s="29">
        <v>2026</v>
      </c>
      <c r="B47">
        <v>43560.069999999832</v>
      </c>
    </row>
    <row r="48" spans="1:12">
      <c r="A48" s="29" t="s">
        <v>388</v>
      </c>
      <c r="B48">
        <v>281389.16999999981</v>
      </c>
    </row>
    <row r="49" spans="11:12">
      <c r="K49" s="28" t="s">
        <v>387</v>
      </c>
      <c r="L49" t="s">
        <v>474</v>
      </c>
    </row>
    <row r="50" spans="11:12">
      <c r="K50" s="29">
        <v>2021</v>
      </c>
      <c r="L50">
        <v>1.1632635428101695E-2</v>
      </c>
    </row>
    <row r="51" spans="11:12">
      <c r="K51" s="29">
        <v>2022</v>
      </c>
      <c r="L51">
        <v>1.6375351313498241E-2</v>
      </c>
    </row>
    <row r="52" spans="11:12">
      <c r="K52" s="29">
        <v>2023</v>
      </c>
      <c r="L52">
        <v>3.5550370779141811E-2</v>
      </c>
    </row>
    <row r="53" spans="11:12">
      <c r="K53" s="29">
        <v>2024</v>
      </c>
      <c r="L53">
        <v>7.9847599579041043E-2</v>
      </c>
    </row>
    <row r="54" spans="11:12">
      <c r="K54" s="29">
        <v>2025</v>
      </c>
      <c r="L54">
        <v>6.1523019539187644E-2</v>
      </c>
    </row>
    <row r="55" spans="11:12">
      <c r="K55" s="29">
        <v>2026</v>
      </c>
      <c r="L55">
        <v>8.1477314113784963E-2</v>
      </c>
    </row>
    <row r="56" spans="11:12">
      <c r="K56" s="29" t="s">
        <v>388</v>
      </c>
      <c r="L56">
        <v>0.28640629075275542</v>
      </c>
    </row>
    <row r="69" spans="11:12">
      <c r="K69" s="28" t="s">
        <v>387</v>
      </c>
      <c r="L69" t="s">
        <v>474</v>
      </c>
    </row>
    <row r="70" spans="11:12">
      <c r="K70" s="29">
        <v>2021</v>
      </c>
      <c r="L70">
        <v>5.1276370945209676E-2</v>
      </c>
    </row>
    <row r="71" spans="11:12">
      <c r="K71" s="29">
        <v>2022</v>
      </c>
      <c r="L71">
        <v>4.8358368327144928E-2</v>
      </c>
    </row>
    <row r="72" spans="11:12">
      <c r="K72" s="29">
        <v>2023</v>
      </c>
      <c r="L72">
        <v>4.9901145647954191E-2</v>
      </c>
    </row>
    <row r="73" spans="11:12">
      <c r="K73" s="29">
        <v>2024</v>
      </c>
      <c r="L73">
        <v>5.2081872734960684E-2</v>
      </c>
    </row>
    <row r="74" spans="11:12">
      <c r="K74" s="29">
        <v>2025</v>
      </c>
      <c r="L74">
        <v>4.7867321390538051E-2</v>
      </c>
    </row>
    <row r="75" spans="11:12">
      <c r="K75" s="29">
        <v>2026</v>
      </c>
      <c r="L75">
        <v>4.8953918895217163E-2</v>
      </c>
    </row>
    <row r="76" spans="11:12">
      <c r="K76" s="29" t="s">
        <v>388</v>
      </c>
      <c r="L76">
        <v>0.29843899794102469</v>
      </c>
    </row>
    <row r="93" spans="6:10">
      <c r="I93" s="69" t="s">
        <v>485</v>
      </c>
      <c r="J93" s="67"/>
    </row>
    <row r="94" spans="6:10">
      <c r="F94" s="67" t="s">
        <v>484</v>
      </c>
      <c r="G94" s="67"/>
      <c r="I94" s="28" t="s">
        <v>387</v>
      </c>
      <c r="J94" t="s">
        <v>474</v>
      </c>
    </row>
    <row r="95" spans="6:10">
      <c r="F95" s="28" t="s">
        <v>387</v>
      </c>
      <c r="G95" t="s">
        <v>473</v>
      </c>
      <c r="I95" s="29">
        <v>2021</v>
      </c>
      <c r="J95" s="68">
        <v>5.1276370945209676E-2</v>
      </c>
    </row>
    <row r="96" spans="6:10">
      <c r="F96" s="29">
        <v>2021</v>
      </c>
      <c r="G96" s="66">
        <v>49961.400000000009</v>
      </c>
      <c r="I96" s="29">
        <v>2022</v>
      </c>
      <c r="J96" s="68">
        <v>4.8358368327144928E-2</v>
      </c>
    </row>
    <row r="97" spans="6:10">
      <c r="F97" s="29">
        <v>2022</v>
      </c>
      <c r="G97" s="66">
        <v>47888.2</v>
      </c>
      <c r="I97" s="29">
        <v>2023</v>
      </c>
      <c r="J97" s="68">
        <v>4.9901145647954191E-2</v>
      </c>
    </row>
    <row r="98" spans="6:10">
      <c r="F98" s="29">
        <v>2023</v>
      </c>
      <c r="G98" s="66">
        <v>47652.299999999996</v>
      </c>
      <c r="I98" s="29">
        <v>2024</v>
      </c>
      <c r="J98" s="68">
        <v>5.2081872734960684E-2</v>
      </c>
    </row>
    <row r="99" spans="6:10">
      <c r="F99" s="29">
        <v>2024</v>
      </c>
      <c r="G99" s="66">
        <v>50195.9</v>
      </c>
      <c r="I99" s="29">
        <v>2025</v>
      </c>
      <c r="J99" s="68">
        <v>4.7867321390538051E-2</v>
      </c>
    </row>
    <row r="100" spans="6:10">
      <c r="F100" s="29">
        <v>2025</v>
      </c>
      <c r="G100" s="66">
        <v>42131.299999999981</v>
      </c>
      <c r="I100" s="29">
        <v>2026</v>
      </c>
      <c r="J100" s="68">
        <v>4.8953918895217163E-2</v>
      </c>
    </row>
    <row r="101" spans="6:10">
      <c r="F101" s="29">
        <v>2026</v>
      </c>
      <c r="G101" s="66">
        <v>43560.069999999832</v>
      </c>
      <c r="I101" s="29" t="s">
        <v>388</v>
      </c>
      <c r="J101" s="68">
        <v>0.29843899794102469</v>
      </c>
    </row>
    <row r="102" spans="6:10">
      <c r="F102" s="29" t="s">
        <v>388</v>
      </c>
      <c r="G102" s="66">
        <v>281389.16999999981</v>
      </c>
    </row>
    <row r="111" spans="6:10">
      <c r="F111" s="69" t="s">
        <v>486</v>
      </c>
      <c r="G111" s="67"/>
      <c r="I111" s="71" t="s">
        <v>487</v>
      </c>
      <c r="J111" s="70"/>
    </row>
    <row r="112" spans="6:10">
      <c r="F112" s="28" t="s">
        <v>387</v>
      </c>
      <c r="G112" t="s">
        <v>473</v>
      </c>
      <c r="I112" s="28" t="s">
        <v>387</v>
      </c>
      <c r="J112" t="s">
        <v>474</v>
      </c>
    </row>
    <row r="113" spans="6:10">
      <c r="F113" s="29">
        <v>2021</v>
      </c>
      <c r="G113" s="66">
        <v>22410.900000000009</v>
      </c>
      <c r="I113" s="29">
        <v>2021</v>
      </c>
      <c r="J113" s="48">
        <v>2.8958198890067125E-2</v>
      </c>
    </row>
    <row r="114" spans="6:10">
      <c r="F114" s="29">
        <v>2022</v>
      </c>
      <c r="G114" s="66">
        <v>28150.800000000017</v>
      </c>
      <c r="I114" s="29">
        <v>2022</v>
      </c>
      <c r="J114" s="48">
        <v>2.7970852167296535E-2</v>
      </c>
    </row>
    <row r="115" spans="6:10">
      <c r="F115" s="29">
        <v>2023</v>
      </c>
      <c r="G115" s="66">
        <v>17582</v>
      </c>
      <c r="I115" s="29">
        <v>2023</v>
      </c>
      <c r="J115" s="48">
        <v>2.1479691030194103E-2</v>
      </c>
    </row>
    <row r="116" spans="6:10">
      <c r="F116" s="29">
        <v>2024</v>
      </c>
      <c r="G116" s="66">
        <v>44007.5</v>
      </c>
      <c r="I116" s="29">
        <v>2024</v>
      </c>
      <c r="J116" s="48">
        <v>4.0656837350973349E-2</v>
      </c>
    </row>
    <row r="117" spans="6:10">
      <c r="F117" s="29">
        <v>2025</v>
      </c>
      <c r="G117" s="66">
        <v>48590.500000000029</v>
      </c>
      <c r="I117" s="29">
        <v>2025</v>
      </c>
      <c r="J117" s="48">
        <v>3.9198846121535125E-2</v>
      </c>
    </row>
    <row r="118" spans="6:10">
      <c r="F118" s="29">
        <v>2026</v>
      </c>
      <c r="G118" s="66">
        <v>52613.109999999404</v>
      </c>
      <c r="I118" s="29">
        <v>2026</v>
      </c>
      <c r="J118" s="48">
        <v>4.0689496653100794E-2</v>
      </c>
    </row>
    <row r="119" spans="6:10">
      <c r="F119" s="29" t="s">
        <v>388</v>
      </c>
      <c r="G119" s="66">
        <v>213354.80999999947</v>
      </c>
      <c r="I119" s="29" t="s">
        <v>388</v>
      </c>
      <c r="J119" s="48">
        <v>0.19895392221316704</v>
      </c>
    </row>
  </sheetData>
  <mergeCells count="4">
    <mergeCell ref="F94:G94"/>
    <mergeCell ref="I93:J93"/>
    <mergeCell ref="F111:G111"/>
    <mergeCell ref="I111:J111"/>
  </mergeCells>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4"/>
    <outlinePr summaryBelow="0"/>
  </sheetPr>
  <dimension ref="A1:M1000"/>
  <sheetViews>
    <sheetView workbookViewId="0"/>
  </sheetViews>
  <sheetFormatPr defaultColWidth="12.7109375" defaultRowHeight="15" customHeight="1"/>
  <cols>
    <col min="1" max="1" width="17.28515625" customWidth="1"/>
    <col min="2" max="2" width="75.140625" customWidth="1"/>
    <col min="3" max="3" width="30.28515625" bestFit="1" customWidth="1"/>
    <col min="4" max="4" width="21" bestFit="1" customWidth="1"/>
    <col min="5" max="5" width="27.140625" bestFit="1" customWidth="1"/>
    <col min="6" max="6" width="21.140625" bestFit="1" customWidth="1"/>
    <col min="7" max="7" width="34.7109375" customWidth="1"/>
    <col min="10" max="10" width="28.85546875" customWidth="1"/>
  </cols>
  <sheetData>
    <row r="1" spans="1:11" ht="15.75" customHeight="1">
      <c r="A1" s="8" t="s">
        <v>58</v>
      </c>
    </row>
    <row r="2" spans="1:11" ht="15.75" customHeight="1">
      <c r="A2" s="16" t="s">
        <v>59</v>
      </c>
      <c r="B2" s="16" t="s">
        <v>60</v>
      </c>
      <c r="C2" s="16" t="s">
        <v>61</v>
      </c>
      <c r="D2" s="16" t="s">
        <v>62</v>
      </c>
      <c r="E2" s="16" t="s">
        <v>63</v>
      </c>
      <c r="F2" s="16" t="s">
        <v>64</v>
      </c>
      <c r="G2" s="16" t="s">
        <v>65</v>
      </c>
      <c r="H2" s="33" t="s">
        <v>459</v>
      </c>
    </row>
    <row r="3" spans="1:11" ht="15.75" hidden="1" customHeight="1">
      <c r="A3" s="17" t="s">
        <v>121</v>
      </c>
      <c r="B3" s="17" t="s">
        <v>122</v>
      </c>
      <c r="C3" s="32" t="s">
        <v>392</v>
      </c>
      <c r="D3" s="17" t="s">
        <v>91</v>
      </c>
      <c r="E3" s="17" t="s">
        <v>88</v>
      </c>
      <c r="F3" s="17" t="s">
        <v>70</v>
      </c>
      <c r="G3" s="18">
        <v>2067000</v>
      </c>
      <c r="H3">
        <v>2024</v>
      </c>
    </row>
    <row r="4" spans="1:11" ht="15.75" hidden="1" customHeight="1">
      <c r="A4" s="17" t="s">
        <v>131</v>
      </c>
      <c r="B4" s="17" t="s">
        <v>132</v>
      </c>
      <c r="C4" s="32" t="s">
        <v>393</v>
      </c>
      <c r="D4" s="17" t="s">
        <v>109</v>
      </c>
      <c r="E4" s="17" t="s">
        <v>74</v>
      </c>
      <c r="F4" s="17" t="s">
        <v>70</v>
      </c>
      <c r="G4" s="18">
        <v>104000</v>
      </c>
      <c r="H4">
        <v>2025</v>
      </c>
      <c r="J4" s="51" t="s">
        <v>478</v>
      </c>
      <c r="K4">
        <f>COUNTIF(E3:E137,"Hallucinated Output")</f>
        <v>36</v>
      </c>
    </row>
    <row r="5" spans="1:11" ht="15.75" hidden="1" customHeight="1">
      <c r="A5" s="17" t="s">
        <v>201</v>
      </c>
      <c r="B5" s="17" t="s">
        <v>202</v>
      </c>
      <c r="C5" s="32" t="s">
        <v>394</v>
      </c>
      <c r="D5" s="17" t="s">
        <v>68</v>
      </c>
      <c r="E5" s="17" t="s">
        <v>69</v>
      </c>
      <c r="F5" s="17" t="s">
        <v>70</v>
      </c>
      <c r="G5" s="18">
        <v>1778000</v>
      </c>
      <c r="H5">
        <v>2021</v>
      </c>
      <c r="J5" s="51" t="s">
        <v>479</v>
      </c>
      <c r="K5">
        <f>COUNTIF(E3:E137,"Algorithmic Bias")</f>
        <v>26</v>
      </c>
    </row>
    <row r="6" spans="1:11" ht="31.5" customHeight="1">
      <c r="A6" s="17" t="s">
        <v>173</v>
      </c>
      <c r="B6" s="17" t="s">
        <v>174</v>
      </c>
      <c r="C6" s="32" t="s">
        <v>395</v>
      </c>
      <c r="D6" s="17" t="s">
        <v>91</v>
      </c>
      <c r="E6" s="17" t="s">
        <v>92</v>
      </c>
      <c r="F6" s="17" t="s">
        <v>75</v>
      </c>
      <c r="G6" s="18">
        <v>832000</v>
      </c>
      <c r="H6">
        <v>2023</v>
      </c>
      <c r="J6" s="52" t="s">
        <v>480</v>
      </c>
      <c r="K6">
        <f>COUNTIF(E3:E137,"Autonomous System Failure")</f>
        <v>9</v>
      </c>
    </row>
    <row r="7" spans="1:11" ht="15.75" hidden="1" customHeight="1">
      <c r="A7" s="17" t="s">
        <v>119</v>
      </c>
      <c r="B7" s="17" t="s">
        <v>120</v>
      </c>
      <c r="C7" s="32" t="s">
        <v>396</v>
      </c>
      <c r="D7" s="17" t="s">
        <v>103</v>
      </c>
      <c r="E7" s="17" t="s">
        <v>74</v>
      </c>
      <c r="F7" s="17" t="s">
        <v>75</v>
      </c>
      <c r="G7" s="18">
        <v>95000</v>
      </c>
      <c r="H7">
        <v>2025</v>
      </c>
      <c r="J7" s="52" t="s">
        <v>481</v>
      </c>
      <c r="K7">
        <f>COUNTIF(E3:E137,"Cyber Exploitation via AI")</f>
        <v>17</v>
      </c>
    </row>
    <row r="8" spans="1:11" ht="15.75" hidden="1" customHeight="1">
      <c r="A8" s="17" t="s">
        <v>263</v>
      </c>
      <c r="B8" s="17" t="s">
        <v>264</v>
      </c>
      <c r="C8" s="32" t="s">
        <v>397</v>
      </c>
      <c r="D8" s="17" t="s">
        <v>103</v>
      </c>
      <c r="E8" s="17" t="s">
        <v>74</v>
      </c>
      <c r="F8" s="17" t="s">
        <v>70</v>
      </c>
      <c r="G8" s="18">
        <v>55000</v>
      </c>
      <c r="H8">
        <v>2023</v>
      </c>
      <c r="J8" s="52" t="s">
        <v>482</v>
      </c>
      <c r="K8">
        <f>COUNTIF(E3:E137,"Misinformation")</f>
        <v>19</v>
      </c>
    </row>
    <row r="9" spans="1:11" ht="15.75" hidden="1" customHeight="1">
      <c r="A9" s="17" t="s">
        <v>301</v>
      </c>
      <c r="B9" s="17" t="s">
        <v>302</v>
      </c>
      <c r="C9" s="32" t="s">
        <v>398</v>
      </c>
      <c r="D9" s="17" t="s">
        <v>103</v>
      </c>
      <c r="E9" s="17" t="s">
        <v>74</v>
      </c>
      <c r="F9" s="17" t="s">
        <v>70</v>
      </c>
      <c r="G9" s="18">
        <v>169000</v>
      </c>
      <c r="H9">
        <v>2025</v>
      </c>
      <c r="J9" s="52" t="s">
        <v>483</v>
      </c>
      <c r="K9">
        <f>COUNTIF(E3:E137,"Misinformation")</f>
        <v>19</v>
      </c>
    </row>
    <row r="10" spans="1:11" ht="15.75" customHeight="1">
      <c r="A10" s="17" t="s">
        <v>283</v>
      </c>
      <c r="B10" s="17" t="s">
        <v>284</v>
      </c>
      <c r="C10" s="32" t="s">
        <v>399</v>
      </c>
      <c r="D10" s="17" t="s">
        <v>114</v>
      </c>
      <c r="E10" s="17" t="s">
        <v>92</v>
      </c>
      <c r="F10" s="17" t="s">
        <v>75</v>
      </c>
      <c r="G10" s="18">
        <v>811000</v>
      </c>
      <c r="H10">
        <v>2024</v>
      </c>
    </row>
    <row r="11" spans="1:11" ht="15.75" hidden="1" customHeight="1">
      <c r="A11" s="17" t="s">
        <v>84</v>
      </c>
      <c r="B11" s="17" t="s">
        <v>85</v>
      </c>
      <c r="C11" s="32" t="s">
        <v>400</v>
      </c>
      <c r="D11" s="17" t="s">
        <v>68</v>
      </c>
      <c r="E11" s="17" t="s">
        <v>69</v>
      </c>
      <c r="F11" s="17" t="s">
        <v>75</v>
      </c>
      <c r="G11" s="18">
        <v>4477000</v>
      </c>
      <c r="H11">
        <v>2023</v>
      </c>
    </row>
    <row r="12" spans="1:11" ht="15.75" hidden="1" customHeight="1">
      <c r="A12" s="17" t="s">
        <v>221</v>
      </c>
      <c r="B12" s="17" t="s">
        <v>222</v>
      </c>
      <c r="C12" s="32" t="s">
        <v>401</v>
      </c>
      <c r="D12" s="17" t="s">
        <v>91</v>
      </c>
      <c r="E12" s="17" t="s">
        <v>74</v>
      </c>
      <c r="F12" s="17" t="s">
        <v>70</v>
      </c>
      <c r="G12" s="18">
        <v>210000</v>
      </c>
      <c r="H12">
        <v>2025</v>
      </c>
    </row>
    <row r="13" spans="1:11" ht="15.75" hidden="1" customHeight="1">
      <c r="A13" s="17" t="s">
        <v>205</v>
      </c>
      <c r="B13" s="17" t="s">
        <v>206</v>
      </c>
      <c r="C13" s="32" t="s">
        <v>402</v>
      </c>
      <c r="D13" s="17" t="s">
        <v>83</v>
      </c>
      <c r="E13" s="17" t="s">
        <v>74</v>
      </c>
      <c r="F13" s="17" t="s">
        <v>70</v>
      </c>
      <c r="G13" s="18">
        <v>183000</v>
      </c>
      <c r="H13">
        <v>2024</v>
      </c>
    </row>
    <row r="14" spans="1:11" ht="15.75" hidden="1" customHeight="1">
      <c r="A14" s="17" t="s">
        <v>161</v>
      </c>
      <c r="B14" s="17" t="s">
        <v>162</v>
      </c>
      <c r="C14" s="32" t="s">
        <v>403</v>
      </c>
      <c r="D14" s="17" t="s">
        <v>83</v>
      </c>
      <c r="E14" s="17" t="s">
        <v>88</v>
      </c>
      <c r="F14" s="17" t="s">
        <v>75</v>
      </c>
      <c r="G14" s="18">
        <v>3416000</v>
      </c>
      <c r="H14">
        <v>2021</v>
      </c>
    </row>
    <row r="15" spans="1:11" ht="15.75" hidden="1" customHeight="1">
      <c r="A15" s="17" t="s">
        <v>215</v>
      </c>
      <c r="B15" s="17" t="s">
        <v>216</v>
      </c>
      <c r="C15" s="32" t="s">
        <v>404</v>
      </c>
      <c r="D15" s="17" t="s">
        <v>114</v>
      </c>
      <c r="E15" s="17" t="s">
        <v>69</v>
      </c>
      <c r="F15" s="17" t="s">
        <v>75</v>
      </c>
      <c r="G15" s="18">
        <v>3866000</v>
      </c>
      <c r="H15">
        <v>2021</v>
      </c>
    </row>
    <row r="16" spans="1:11" ht="15.75" hidden="1" customHeight="1">
      <c r="A16" s="17" t="s">
        <v>183</v>
      </c>
      <c r="B16" s="17" t="s">
        <v>184</v>
      </c>
      <c r="C16" s="32" t="s">
        <v>405</v>
      </c>
      <c r="D16" s="17" t="s">
        <v>83</v>
      </c>
      <c r="E16" s="17" t="s">
        <v>78</v>
      </c>
      <c r="F16" s="17" t="s">
        <v>70</v>
      </c>
      <c r="G16" s="18">
        <v>3685000</v>
      </c>
      <c r="H16">
        <v>2025</v>
      </c>
    </row>
    <row r="17" spans="1:8" ht="15.75" customHeight="1">
      <c r="A17" s="17" t="s">
        <v>293</v>
      </c>
      <c r="B17" s="17" t="s">
        <v>294</v>
      </c>
      <c r="C17" s="32" t="s">
        <v>406</v>
      </c>
      <c r="D17" s="17" t="s">
        <v>91</v>
      </c>
      <c r="E17" s="17" t="s">
        <v>92</v>
      </c>
      <c r="F17" s="17" t="s">
        <v>75</v>
      </c>
      <c r="G17" s="18">
        <v>912000</v>
      </c>
      <c r="H17">
        <v>2022</v>
      </c>
    </row>
    <row r="18" spans="1:8" ht="15.75" hidden="1" customHeight="1">
      <c r="A18" s="17" t="s">
        <v>339</v>
      </c>
      <c r="B18" s="17" t="s">
        <v>340</v>
      </c>
      <c r="C18" s="32" t="s">
        <v>406</v>
      </c>
      <c r="D18" s="17" t="s">
        <v>109</v>
      </c>
      <c r="E18" s="17" t="s">
        <v>74</v>
      </c>
      <c r="F18" s="17" t="s">
        <v>75</v>
      </c>
      <c r="G18" s="18">
        <v>153000</v>
      </c>
      <c r="H18">
        <v>2022</v>
      </c>
    </row>
    <row r="19" spans="1:8" ht="15.75" hidden="1" customHeight="1">
      <c r="A19" s="17" t="s">
        <v>271</v>
      </c>
      <c r="B19" s="17" t="s">
        <v>272</v>
      </c>
      <c r="C19" s="32" t="s">
        <v>407</v>
      </c>
      <c r="D19" s="17" t="s">
        <v>83</v>
      </c>
      <c r="E19" s="17" t="s">
        <v>78</v>
      </c>
      <c r="F19" s="17" t="s">
        <v>70</v>
      </c>
      <c r="G19" s="18">
        <v>2718000</v>
      </c>
      <c r="H19">
        <v>2025</v>
      </c>
    </row>
    <row r="20" spans="1:8" ht="15.75" hidden="1" customHeight="1">
      <c r="A20" s="17" t="s">
        <v>177</v>
      </c>
      <c r="B20" s="17" t="s">
        <v>178</v>
      </c>
      <c r="C20" s="32" t="s">
        <v>408</v>
      </c>
      <c r="D20" s="17" t="s">
        <v>73</v>
      </c>
      <c r="E20" s="17" t="s">
        <v>74</v>
      </c>
      <c r="F20" s="17" t="s">
        <v>70</v>
      </c>
      <c r="G20" s="18">
        <v>154000</v>
      </c>
      <c r="H20">
        <v>2023</v>
      </c>
    </row>
    <row r="21" spans="1:8" ht="15.75" hidden="1" customHeight="1">
      <c r="A21" s="17" t="s">
        <v>315</v>
      </c>
      <c r="B21" s="17" t="s">
        <v>316</v>
      </c>
      <c r="C21" s="32" t="s">
        <v>409</v>
      </c>
      <c r="D21" s="17" t="s">
        <v>73</v>
      </c>
      <c r="E21" s="17" t="s">
        <v>69</v>
      </c>
      <c r="F21" s="17" t="s">
        <v>70</v>
      </c>
      <c r="G21" s="18">
        <v>1348000</v>
      </c>
      <c r="H21">
        <v>2023</v>
      </c>
    </row>
    <row r="22" spans="1:8" ht="15.75" customHeight="1">
      <c r="A22" s="17" t="s">
        <v>247</v>
      </c>
      <c r="B22" s="17" t="s">
        <v>248</v>
      </c>
      <c r="C22" s="32" t="s">
        <v>410</v>
      </c>
      <c r="D22" s="17" t="s">
        <v>91</v>
      </c>
      <c r="E22" s="17" t="s">
        <v>92</v>
      </c>
      <c r="F22" s="17" t="s">
        <v>75</v>
      </c>
      <c r="G22" s="18">
        <v>441000</v>
      </c>
      <c r="H22">
        <v>2021</v>
      </c>
    </row>
    <row r="23" spans="1:8" ht="15.75" hidden="1" customHeight="1">
      <c r="A23" s="17" t="s">
        <v>185</v>
      </c>
      <c r="B23" s="17" t="s">
        <v>186</v>
      </c>
      <c r="C23" s="32" t="s">
        <v>411</v>
      </c>
      <c r="D23" s="17" t="s">
        <v>68</v>
      </c>
      <c r="E23" s="17" t="s">
        <v>69</v>
      </c>
      <c r="F23" s="17" t="s">
        <v>70</v>
      </c>
      <c r="G23" s="18">
        <v>1038000</v>
      </c>
      <c r="H23">
        <v>2025</v>
      </c>
    </row>
    <row r="24" spans="1:8" ht="15.75" hidden="1" customHeight="1">
      <c r="A24" s="17" t="s">
        <v>329</v>
      </c>
      <c r="B24" s="17" t="s">
        <v>330</v>
      </c>
      <c r="C24" s="32" t="s">
        <v>412</v>
      </c>
      <c r="D24" s="17" t="s">
        <v>114</v>
      </c>
      <c r="E24" s="17" t="s">
        <v>69</v>
      </c>
      <c r="F24" s="17" t="s">
        <v>75</v>
      </c>
      <c r="G24" s="18">
        <v>1975000</v>
      </c>
      <c r="H24">
        <v>2023</v>
      </c>
    </row>
    <row r="25" spans="1:8" ht="15.75" hidden="1" customHeight="1">
      <c r="A25" s="17" t="s">
        <v>155</v>
      </c>
      <c r="B25" s="17" t="s">
        <v>156</v>
      </c>
      <c r="C25" s="32" t="s">
        <v>413</v>
      </c>
      <c r="D25" s="17" t="s">
        <v>83</v>
      </c>
      <c r="E25" s="17" t="s">
        <v>88</v>
      </c>
      <c r="F25" s="17" t="s">
        <v>70</v>
      </c>
      <c r="G25" s="18">
        <v>2264000</v>
      </c>
      <c r="H25">
        <v>2024</v>
      </c>
    </row>
    <row r="26" spans="1:8" ht="15.75" hidden="1" customHeight="1">
      <c r="A26" s="17" t="s">
        <v>211</v>
      </c>
      <c r="B26" s="17" t="s">
        <v>212</v>
      </c>
      <c r="C26" s="32" t="s">
        <v>413</v>
      </c>
      <c r="D26" s="17" t="s">
        <v>68</v>
      </c>
      <c r="E26" s="17" t="s">
        <v>88</v>
      </c>
      <c r="F26" s="17" t="s">
        <v>70</v>
      </c>
      <c r="G26" s="18">
        <v>2168000</v>
      </c>
      <c r="H26">
        <v>2024</v>
      </c>
    </row>
    <row r="27" spans="1:8" ht="15.75" customHeight="1">
      <c r="A27" s="17" t="s">
        <v>133</v>
      </c>
      <c r="B27" s="17" t="s">
        <v>134</v>
      </c>
      <c r="C27" s="32" t="s">
        <v>414</v>
      </c>
      <c r="D27" s="17" t="s">
        <v>91</v>
      </c>
      <c r="E27" s="17" t="s">
        <v>92</v>
      </c>
      <c r="F27" s="17" t="s">
        <v>70</v>
      </c>
      <c r="G27" s="18">
        <v>214000</v>
      </c>
      <c r="H27">
        <v>2023</v>
      </c>
    </row>
    <row r="28" spans="1:8" ht="15.75" hidden="1" customHeight="1">
      <c r="A28" s="17" t="s">
        <v>229</v>
      </c>
      <c r="B28" s="17" t="s">
        <v>230</v>
      </c>
      <c r="C28" s="32" t="s">
        <v>415</v>
      </c>
      <c r="D28" s="17" t="s">
        <v>73</v>
      </c>
      <c r="E28" s="17" t="s">
        <v>78</v>
      </c>
      <c r="F28" s="17" t="s">
        <v>75</v>
      </c>
      <c r="G28" s="18">
        <v>5903000</v>
      </c>
      <c r="H28">
        <v>2024</v>
      </c>
    </row>
    <row r="29" spans="1:8" ht="15.75" hidden="1" customHeight="1">
      <c r="A29" s="17" t="s">
        <v>115</v>
      </c>
      <c r="B29" s="17" t="s">
        <v>116</v>
      </c>
      <c r="C29" s="32" t="s">
        <v>416</v>
      </c>
      <c r="D29" s="17" t="s">
        <v>109</v>
      </c>
      <c r="E29" s="17" t="s">
        <v>78</v>
      </c>
      <c r="F29" s="17" t="s">
        <v>75</v>
      </c>
      <c r="G29" s="18">
        <v>5342000</v>
      </c>
      <c r="H29">
        <v>2025</v>
      </c>
    </row>
    <row r="30" spans="1:8" ht="15.75" hidden="1" customHeight="1">
      <c r="A30" s="17" t="s">
        <v>241</v>
      </c>
      <c r="B30" s="17" t="s">
        <v>242</v>
      </c>
      <c r="C30" s="32" t="s">
        <v>417</v>
      </c>
      <c r="D30" s="17" t="s">
        <v>114</v>
      </c>
      <c r="E30" s="17" t="s">
        <v>78</v>
      </c>
      <c r="F30" s="17" t="s">
        <v>70</v>
      </c>
      <c r="G30" s="18">
        <v>1587000</v>
      </c>
      <c r="H30">
        <v>2025</v>
      </c>
    </row>
    <row r="31" spans="1:8" ht="15.75" hidden="1" customHeight="1">
      <c r="A31" s="17" t="s">
        <v>139</v>
      </c>
      <c r="B31" s="17" t="s">
        <v>140</v>
      </c>
      <c r="C31" s="32" t="s">
        <v>418</v>
      </c>
      <c r="D31" s="17" t="s">
        <v>109</v>
      </c>
      <c r="E31" s="17" t="s">
        <v>74</v>
      </c>
      <c r="F31" s="17" t="s">
        <v>75</v>
      </c>
      <c r="G31" s="18">
        <v>183000</v>
      </c>
      <c r="H31">
        <v>2022</v>
      </c>
    </row>
    <row r="32" spans="1:8" ht="15.75" hidden="1" customHeight="1">
      <c r="A32" s="17" t="s">
        <v>299</v>
      </c>
      <c r="B32" s="17" t="s">
        <v>300</v>
      </c>
      <c r="C32" s="32" t="s">
        <v>419</v>
      </c>
      <c r="D32" s="17" t="s">
        <v>114</v>
      </c>
      <c r="E32" s="17" t="s">
        <v>69</v>
      </c>
      <c r="F32" s="17" t="s">
        <v>75</v>
      </c>
      <c r="G32" s="18">
        <v>2803000</v>
      </c>
      <c r="H32">
        <v>2024</v>
      </c>
    </row>
    <row r="33" spans="1:8" ht="15.75" hidden="1" customHeight="1">
      <c r="A33" s="17" t="s">
        <v>347</v>
      </c>
      <c r="B33" s="17" t="s">
        <v>348</v>
      </c>
      <c r="C33" s="32" t="s">
        <v>420</v>
      </c>
      <c r="D33" s="17" t="s">
        <v>114</v>
      </c>
      <c r="E33" s="17" t="s">
        <v>78</v>
      </c>
      <c r="F33" s="17" t="s">
        <v>70</v>
      </c>
      <c r="G33" s="18">
        <v>4408000</v>
      </c>
      <c r="H33">
        <v>2021</v>
      </c>
    </row>
    <row r="34" spans="1:8" ht="15.75" hidden="1" customHeight="1">
      <c r="A34" s="17" t="s">
        <v>335</v>
      </c>
      <c r="B34" s="17" t="s">
        <v>336</v>
      </c>
      <c r="C34" s="32" t="s">
        <v>421</v>
      </c>
      <c r="D34" s="17" t="s">
        <v>73</v>
      </c>
      <c r="E34" s="17" t="s">
        <v>69</v>
      </c>
      <c r="F34" s="17" t="s">
        <v>70</v>
      </c>
      <c r="G34" s="18">
        <v>2034000</v>
      </c>
      <c r="H34">
        <v>2024</v>
      </c>
    </row>
    <row r="35" spans="1:8" ht="15.75" hidden="1" customHeight="1">
      <c r="A35" s="17" t="s">
        <v>291</v>
      </c>
      <c r="B35" s="17" t="s">
        <v>292</v>
      </c>
      <c r="C35" s="32" t="s">
        <v>422</v>
      </c>
      <c r="D35" s="17" t="s">
        <v>73</v>
      </c>
      <c r="E35" s="17" t="s">
        <v>78</v>
      </c>
      <c r="F35" s="17" t="s">
        <v>70</v>
      </c>
      <c r="G35" s="18">
        <v>3010000</v>
      </c>
      <c r="H35">
        <v>2025</v>
      </c>
    </row>
    <row r="36" spans="1:8" ht="15.75" hidden="1" customHeight="1">
      <c r="A36" s="17" t="s">
        <v>265</v>
      </c>
      <c r="B36" s="17" t="s">
        <v>266</v>
      </c>
      <c r="C36" s="32" t="s">
        <v>423</v>
      </c>
      <c r="D36" s="17" t="s">
        <v>68</v>
      </c>
      <c r="E36" s="17" t="s">
        <v>88</v>
      </c>
      <c r="F36" s="17" t="s">
        <v>75</v>
      </c>
      <c r="G36" s="18">
        <v>2235000</v>
      </c>
      <c r="H36">
        <v>2025</v>
      </c>
    </row>
    <row r="37" spans="1:8" ht="15.75" hidden="1" customHeight="1">
      <c r="A37" s="17" t="s">
        <v>275</v>
      </c>
      <c r="B37" s="17" t="s">
        <v>276</v>
      </c>
      <c r="C37" s="32" t="s">
        <v>424</v>
      </c>
      <c r="D37" s="17" t="s">
        <v>68</v>
      </c>
      <c r="E37" s="17" t="s">
        <v>74</v>
      </c>
      <c r="F37" s="17" t="s">
        <v>70</v>
      </c>
      <c r="G37" s="18">
        <v>164000</v>
      </c>
      <c r="H37">
        <v>2023</v>
      </c>
    </row>
    <row r="38" spans="1:8" ht="15.75" hidden="1" customHeight="1">
      <c r="A38" s="17" t="s">
        <v>341</v>
      </c>
      <c r="B38" s="17" t="s">
        <v>342</v>
      </c>
      <c r="C38" s="32" t="s">
        <v>425</v>
      </c>
      <c r="D38" s="17" t="s">
        <v>91</v>
      </c>
      <c r="E38" s="17" t="s">
        <v>74</v>
      </c>
      <c r="F38" s="17" t="s">
        <v>75</v>
      </c>
      <c r="G38" s="18">
        <v>207000</v>
      </c>
      <c r="H38">
        <v>2025</v>
      </c>
    </row>
    <row r="39" spans="1:8" ht="15.75" hidden="1" customHeight="1">
      <c r="A39" s="17" t="s">
        <v>125</v>
      </c>
      <c r="B39" s="17" t="s">
        <v>126</v>
      </c>
      <c r="C39" s="32" t="s">
        <v>426</v>
      </c>
      <c r="D39" s="17" t="s">
        <v>91</v>
      </c>
      <c r="E39" s="17" t="s">
        <v>78</v>
      </c>
      <c r="F39" s="17" t="s">
        <v>75</v>
      </c>
      <c r="G39" s="18">
        <v>5299000</v>
      </c>
      <c r="H39">
        <v>2024</v>
      </c>
    </row>
    <row r="40" spans="1:8" ht="15.75" hidden="1" customHeight="1">
      <c r="A40" s="17" t="s">
        <v>337</v>
      </c>
      <c r="B40" s="17" t="s">
        <v>338</v>
      </c>
      <c r="C40" s="32" t="s">
        <v>426</v>
      </c>
      <c r="D40" s="17" t="s">
        <v>83</v>
      </c>
      <c r="E40" s="17" t="s">
        <v>88</v>
      </c>
      <c r="F40" s="17" t="s">
        <v>75</v>
      </c>
      <c r="G40" s="18">
        <v>3073000</v>
      </c>
      <c r="H40">
        <v>2024</v>
      </c>
    </row>
    <row r="41" spans="1:8" ht="15.75" hidden="1" customHeight="1">
      <c r="A41" s="17" t="s">
        <v>66</v>
      </c>
      <c r="B41" s="17" t="s">
        <v>67</v>
      </c>
      <c r="C41" s="32" t="s">
        <v>427</v>
      </c>
      <c r="D41" s="17" t="s">
        <v>68</v>
      </c>
      <c r="E41" s="17" t="s">
        <v>69</v>
      </c>
      <c r="F41" s="17" t="s">
        <v>70</v>
      </c>
      <c r="G41" s="18">
        <v>2448000</v>
      </c>
      <c r="H41">
        <v>2024</v>
      </c>
    </row>
    <row r="42" spans="1:8" ht="15.75" hidden="1" customHeight="1">
      <c r="A42" s="17" t="s">
        <v>281</v>
      </c>
      <c r="B42" s="17" t="s">
        <v>282</v>
      </c>
      <c r="C42" s="32" t="s">
        <v>428</v>
      </c>
      <c r="D42" s="17" t="s">
        <v>83</v>
      </c>
      <c r="E42" s="17" t="s">
        <v>74</v>
      </c>
      <c r="F42" s="17" t="s">
        <v>70</v>
      </c>
      <c r="G42" s="18">
        <v>176000</v>
      </c>
      <c r="H42">
        <v>2025</v>
      </c>
    </row>
    <row r="43" spans="1:8" ht="15.75" hidden="1" customHeight="1">
      <c r="A43" s="17" t="s">
        <v>225</v>
      </c>
      <c r="B43" s="17" t="s">
        <v>226</v>
      </c>
      <c r="C43" s="32" t="s">
        <v>429</v>
      </c>
      <c r="D43" s="17" t="s">
        <v>68</v>
      </c>
      <c r="E43" s="17" t="s">
        <v>69</v>
      </c>
      <c r="F43" s="17" t="s">
        <v>70</v>
      </c>
      <c r="G43" s="18">
        <v>1621000</v>
      </c>
      <c r="H43">
        <v>2021</v>
      </c>
    </row>
    <row r="44" spans="1:8" ht="15.75" hidden="1" customHeight="1">
      <c r="A44" s="17" t="s">
        <v>345</v>
      </c>
      <c r="B44" s="17" t="s">
        <v>346</v>
      </c>
      <c r="C44" s="32" t="s">
        <v>430</v>
      </c>
      <c r="D44" s="17" t="s">
        <v>109</v>
      </c>
      <c r="E44" s="17" t="s">
        <v>78</v>
      </c>
      <c r="F44" s="17" t="s">
        <v>75</v>
      </c>
      <c r="G44" s="18">
        <v>5626000</v>
      </c>
      <c r="H44">
        <v>2023</v>
      </c>
    </row>
    <row r="45" spans="1:8" ht="15.75" hidden="1" customHeight="1">
      <c r="A45" s="17" t="s">
        <v>159</v>
      </c>
      <c r="B45" s="17" t="s">
        <v>160</v>
      </c>
      <c r="C45" s="32" t="s">
        <v>431</v>
      </c>
      <c r="D45" s="17" t="s">
        <v>103</v>
      </c>
      <c r="E45" s="17" t="s">
        <v>78</v>
      </c>
      <c r="F45" s="17" t="s">
        <v>75</v>
      </c>
      <c r="G45" s="18">
        <v>4953000</v>
      </c>
      <c r="H45">
        <v>2022</v>
      </c>
    </row>
    <row r="46" spans="1:8" ht="15.75" hidden="1" customHeight="1">
      <c r="A46" s="17" t="s">
        <v>333</v>
      </c>
      <c r="B46" s="17" t="s">
        <v>334</v>
      </c>
      <c r="C46" s="32" t="s">
        <v>432</v>
      </c>
      <c r="D46" s="17" t="s">
        <v>103</v>
      </c>
      <c r="E46" s="17" t="s">
        <v>74</v>
      </c>
      <c r="F46" s="17" t="s">
        <v>70</v>
      </c>
      <c r="G46" s="18">
        <v>155000</v>
      </c>
      <c r="H46">
        <v>2022</v>
      </c>
    </row>
    <row r="47" spans="1:8" ht="15.75" hidden="1" customHeight="1">
      <c r="A47" s="17" t="s">
        <v>189</v>
      </c>
      <c r="B47" s="17" t="s">
        <v>190</v>
      </c>
      <c r="C47" s="32" t="s">
        <v>433</v>
      </c>
      <c r="D47" s="17" t="s">
        <v>83</v>
      </c>
      <c r="E47" s="17" t="s">
        <v>88</v>
      </c>
      <c r="F47" s="17" t="s">
        <v>70</v>
      </c>
      <c r="G47" s="18">
        <v>3071000</v>
      </c>
      <c r="H47">
        <v>2024</v>
      </c>
    </row>
    <row r="48" spans="1:8" ht="15.75" customHeight="1">
      <c r="A48" s="17" t="s">
        <v>261</v>
      </c>
      <c r="B48" s="17" t="s">
        <v>262</v>
      </c>
      <c r="C48" s="32" t="s">
        <v>434</v>
      </c>
      <c r="D48" s="17" t="s">
        <v>91</v>
      </c>
      <c r="E48" s="17" t="s">
        <v>92</v>
      </c>
      <c r="F48" s="17" t="s">
        <v>70</v>
      </c>
      <c r="G48" s="18">
        <v>318000</v>
      </c>
      <c r="H48">
        <v>2024</v>
      </c>
    </row>
    <row r="49" spans="1:8" ht="15.75" hidden="1" customHeight="1">
      <c r="A49" s="17" t="s">
        <v>171</v>
      </c>
      <c r="B49" s="17" t="s">
        <v>172</v>
      </c>
      <c r="C49" s="32" t="s">
        <v>435</v>
      </c>
      <c r="D49" s="17" t="s">
        <v>114</v>
      </c>
      <c r="E49" s="17" t="s">
        <v>69</v>
      </c>
      <c r="F49" s="17" t="s">
        <v>75</v>
      </c>
      <c r="G49" s="18">
        <v>5294000</v>
      </c>
      <c r="H49">
        <v>2025</v>
      </c>
    </row>
    <row r="50" spans="1:8" ht="15.75" hidden="1" customHeight="1">
      <c r="A50" s="17" t="s">
        <v>237</v>
      </c>
      <c r="B50" s="17" t="s">
        <v>238</v>
      </c>
      <c r="C50" s="32" t="s">
        <v>436</v>
      </c>
      <c r="D50" s="17" t="s">
        <v>68</v>
      </c>
      <c r="E50" s="17" t="s">
        <v>69</v>
      </c>
      <c r="F50" s="17" t="s">
        <v>75</v>
      </c>
      <c r="G50" s="18">
        <v>2112000</v>
      </c>
      <c r="H50">
        <v>2021</v>
      </c>
    </row>
    <row r="51" spans="1:8" ht="15.75" hidden="1" customHeight="1">
      <c r="A51" s="17" t="s">
        <v>319</v>
      </c>
      <c r="B51" s="17" t="s">
        <v>320</v>
      </c>
      <c r="C51" s="32" t="s">
        <v>437</v>
      </c>
      <c r="D51" s="17" t="s">
        <v>68</v>
      </c>
      <c r="E51" s="17" t="s">
        <v>69</v>
      </c>
      <c r="F51" s="17" t="s">
        <v>75</v>
      </c>
      <c r="G51" s="18">
        <v>2440000</v>
      </c>
      <c r="H51">
        <v>2024</v>
      </c>
    </row>
    <row r="52" spans="1:8" ht="15.75" hidden="1" customHeight="1">
      <c r="A52" s="17" t="s">
        <v>327</v>
      </c>
      <c r="B52" s="17" t="s">
        <v>328</v>
      </c>
      <c r="C52" s="32" t="s">
        <v>437</v>
      </c>
      <c r="D52" s="17" t="s">
        <v>83</v>
      </c>
      <c r="E52" s="17" t="s">
        <v>88</v>
      </c>
      <c r="F52" s="17" t="s">
        <v>70</v>
      </c>
      <c r="G52" s="18">
        <v>3187000</v>
      </c>
      <c r="H52">
        <v>2024</v>
      </c>
    </row>
    <row r="53" spans="1:8" ht="15.75" hidden="1" customHeight="1">
      <c r="A53" s="17" t="s">
        <v>251</v>
      </c>
      <c r="B53" s="17" t="s">
        <v>252</v>
      </c>
      <c r="C53" s="32" t="s">
        <v>438</v>
      </c>
      <c r="D53" s="17" t="s">
        <v>114</v>
      </c>
      <c r="E53" s="17" t="s">
        <v>69</v>
      </c>
      <c r="F53" s="17" t="s">
        <v>70</v>
      </c>
      <c r="G53" s="18">
        <v>3819000</v>
      </c>
      <c r="H53">
        <v>2023</v>
      </c>
    </row>
    <row r="54" spans="1:8" ht="15.75" customHeight="1">
      <c r="A54" s="17" t="s">
        <v>95</v>
      </c>
      <c r="B54" s="17" t="s">
        <v>96</v>
      </c>
      <c r="C54" s="32" t="s">
        <v>439</v>
      </c>
      <c r="D54" s="17" t="s">
        <v>91</v>
      </c>
      <c r="E54" s="17" t="s">
        <v>92</v>
      </c>
      <c r="F54" s="17" t="s">
        <v>75</v>
      </c>
      <c r="G54" s="18">
        <v>781000</v>
      </c>
      <c r="H54">
        <v>2025</v>
      </c>
    </row>
    <row r="55" spans="1:8" ht="15.75" hidden="1" customHeight="1">
      <c r="A55" s="17" t="s">
        <v>101</v>
      </c>
      <c r="B55" s="17" t="s">
        <v>102</v>
      </c>
      <c r="C55" s="32" t="s">
        <v>440</v>
      </c>
      <c r="D55" s="17" t="s">
        <v>103</v>
      </c>
      <c r="E55" s="17" t="s">
        <v>104</v>
      </c>
      <c r="F55" s="17" t="s">
        <v>70</v>
      </c>
      <c r="G55" s="18">
        <v>12887000</v>
      </c>
      <c r="H55">
        <v>2025</v>
      </c>
    </row>
    <row r="56" spans="1:8" ht="15.75" hidden="1" customHeight="1">
      <c r="A56" s="17" t="s">
        <v>71</v>
      </c>
      <c r="B56" s="17" t="s">
        <v>72</v>
      </c>
      <c r="C56" s="32" t="s">
        <v>441</v>
      </c>
      <c r="D56" s="17" t="s">
        <v>73</v>
      </c>
      <c r="E56" s="17" t="s">
        <v>74</v>
      </c>
      <c r="F56" s="17" t="s">
        <v>75</v>
      </c>
      <c r="G56" s="18">
        <v>260000</v>
      </c>
      <c r="H56">
        <v>2025</v>
      </c>
    </row>
    <row r="57" spans="1:8" ht="15.75" hidden="1" customHeight="1">
      <c r="A57" s="17" t="s">
        <v>267</v>
      </c>
      <c r="B57" s="17" t="s">
        <v>268</v>
      </c>
      <c r="C57" s="32" t="s">
        <v>442</v>
      </c>
      <c r="D57" s="17" t="s">
        <v>103</v>
      </c>
      <c r="E57" s="17" t="s">
        <v>88</v>
      </c>
      <c r="F57" s="17" t="s">
        <v>70</v>
      </c>
      <c r="G57" s="18">
        <v>3592000</v>
      </c>
      <c r="H57">
        <v>2025</v>
      </c>
    </row>
    <row r="58" spans="1:8" ht="15.75" hidden="1" customHeight="1">
      <c r="A58" s="17" t="s">
        <v>147</v>
      </c>
      <c r="B58" s="17" t="s">
        <v>148</v>
      </c>
      <c r="C58" s="32" t="s">
        <v>443</v>
      </c>
      <c r="D58" s="17" t="s">
        <v>114</v>
      </c>
      <c r="E58" s="17" t="s">
        <v>69</v>
      </c>
      <c r="F58" s="17" t="s">
        <v>70</v>
      </c>
      <c r="G58" s="18">
        <v>3133000</v>
      </c>
      <c r="H58">
        <v>2024</v>
      </c>
    </row>
    <row r="59" spans="1:8" ht="15.75" hidden="1" customHeight="1">
      <c r="A59" s="17" t="s">
        <v>325</v>
      </c>
      <c r="B59" s="17" t="s">
        <v>326</v>
      </c>
      <c r="C59" s="32" t="s">
        <v>444</v>
      </c>
      <c r="D59" s="17" t="s">
        <v>109</v>
      </c>
      <c r="E59" s="17" t="s">
        <v>74</v>
      </c>
      <c r="F59" s="17" t="s">
        <v>70</v>
      </c>
      <c r="G59" s="18">
        <v>62000</v>
      </c>
      <c r="H59">
        <v>2025</v>
      </c>
    </row>
    <row r="60" spans="1:8" ht="15.75" hidden="1" customHeight="1">
      <c r="A60" s="17" t="s">
        <v>199</v>
      </c>
      <c r="B60" s="17" t="s">
        <v>200</v>
      </c>
      <c r="C60" s="32" t="s">
        <v>445</v>
      </c>
      <c r="D60" s="17" t="s">
        <v>103</v>
      </c>
      <c r="E60" s="17" t="s">
        <v>104</v>
      </c>
      <c r="F60" s="17" t="s">
        <v>70</v>
      </c>
      <c r="G60" s="18">
        <v>16443000</v>
      </c>
      <c r="H60">
        <v>2023</v>
      </c>
    </row>
    <row r="61" spans="1:8" ht="15.75" hidden="1" customHeight="1">
      <c r="A61" s="17" t="s">
        <v>223</v>
      </c>
      <c r="B61" s="17" t="s">
        <v>224</v>
      </c>
      <c r="C61" s="32" t="s">
        <v>446</v>
      </c>
      <c r="D61" s="17" t="s">
        <v>73</v>
      </c>
      <c r="E61" s="17" t="s">
        <v>74</v>
      </c>
      <c r="F61" s="17" t="s">
        <v>70</v>
      </c>
      <c r="G61" s="18">
        <v>90000</v>
      </c>
      <c r="H61">
        <v>2022</v>
      </c>
    </row>
    <row r="62" spans="1:8" ht="15.75" hidden="1" customHeight="1">
      <c r="A62" s="17" t="s">
        <v>81</v>
      </c>
      <c r="B62" s="17" t="s">
        <v>82</v>
      </c>
      <c r="C62" s="32" t="s">
        <v>447</v>
      </c>
      <c r="D62" s="17" t="s">
        <v>83</v>
      </c>
      <c r="E62" s="17" t="s">
        <v>74</v>
      </c>
      <c r="F62" s="17" t="s">
        <v>70</v>
      </c>
      <c r="G62" s="18">
        <v>159000</v>
      </c>
      <c r="H62">
        <v>2025</v>
      </c>
    </row>
    <row r="63" spans="1:8" ht="15.75" hidden="1" customHeight="1">
      <c r="A63" s="17" t="s">
        <v>187</v>
      </c>
      <c r="B63" s="17" t="s">
        <v>188</v>
      </c>
      <c r="C63" s="32" t="s">
        <v>448</v>
      </c>
      <c r="D63" s="17" t="s">
        <v>109</v>
      </c>
      <c r="E63" s="17" t="s">
        <v>74</v>
      </c>
      <c r="F63" s="17" t="s">
        <v>75</v>
      </c>
      <c r="G63" s="18">
        <v>122000</v>
      </c>
      <c r="H63">
        <v>2024</v>
      </c>
    </row>
    <row r="64" spans="1:8" ht="15.75" hidden="1" customHeight="1">
      <c r="A64" s="17" t="s">
        <v>167</v>
      </c>
      <c r="B64" s="17" t="s">
        <v>168</v>
      </c>
      <c r="C64" s="32" t="s">
        <v>449</v>
      </c>
      <c r="D64" s="17" t="s">
        <v>109</v>
      </c>
      <c r="E64" s="17" t="s">
        <v>74</v>
      </c>
      <c r="F64" s="17" t="s">
        <v>70</v>
      </c>
      <c r="G64" s="18">
        <v>186000</v>
      </c>
      <c r="H64">
        <v>2022</v>
      </c>
    </row>
    <row r="65" spans="1:13" ht="15.75" customHeight="1">
      <c r="A65" s="17" t="s">
        <v>297</v>
      </c>
      <c r="B65" s="17" t="s">
        <v>298</v>
      </c>
      <c r="C65" s="32" t="s">
        <v>450</v>
      </c>
      <c r="D65" s="17" t="s">
        <v>68</v>
      </c>
      <c r="E65" s="17" t="s">
        <v>92</v>
      </c>
      <c r="F65" s="17" t="s">
        <v>75</v>
      </c>
      <c r="G65" s="18">
        <v>1190000</v>
      </c>
      <c r="H65">
        <v>2023</v>
      </c>
    </row>
    <row r="66" spans="1:13" ht="15.75" hidden="1" customHeight="1">
      <c r="A66" s="17" t="s">
        <v>86</v>
      </c>
      <c r="B66" s="17" t="s">
        <v>87</v>
      </c>
      <c r="C66" s="32" t="s">
        <v>451</v>
      </c>
      <c r="D66" s="17" t="s">
        <v>68</v>
      </c>
      <c r="E66" s="17" t="s">
        <v>88</v>
      </c>
      <c r="F66" s="17" t="s">
        <v>75</v>
      </c>
      <c r="G66" s="18">
        <v>4779000</v>
      </c>
      <c r="H66">
        <v>2021</v>
      </c>
    </row>
    <row r="67" spans="1:13" ht="15.75" customHeight="1">
      <c r="A67" s="17" t="s">
        <v>191</v>
      </c>
      <c r="B67" s="17" t="s">
        <v>192</v>
      </c>
      <c r="C67" s="32" t="s">
        <v>452</v>
      </c>
      <c r="D67" s="17" t="s">
        <v>114</v>
      </c>
      <c r="E67" s="17" t="s">
        <v>92</v>
      </c>
      <c r="F67" s="17" t="s">
        <v>70</v>
      </c>
      <c r="G67" s="18">
        <v>342000</v>
      </c>
      <c r="H67">
        <v>2025</v>
      </c>
    </row>
    <row r="68" spans="1:13" ht="15.75" hidden="1" customHeight="1">
      <c r="A68" s="17" t="s">
        <v>112</v>
      </c>
      <c r="B68" s="17" t="s">
        <v>113</v>
      </c>
      <c r="C68" s="32" t="s">
        <v>453</v>
      </c>
      <c r="D68" s="17" t="s">
        <v>114</v>
      </c>
      <c r="E68" s="17" t="s">
        <v>69</v>
      </c>
      <c r="F68" s="17" t="s">
        <v>75</v>
      </c>
      <c r="G68" s="18">
        <v>3322000</v>
      </c>
      <c r="H68">
        <v>2025</v>
      </c>
    </row>
    <row r="69" spans="1:13" ht="15.75" hidden="1" customHeight="1">
      <c r="A69" s="17" t="s">
        <v>193</v>
      </c>
      <c r="B69" s="17" t="s">
        <v>194</v>
      </c>
      <c r="C69" s="32" t="s">
        <v>454</v>
      </c>
      <c r="D69" s="17" t="s">
        <v>91</v>
      </c>
      <c r="E69" s="17" t="s">
        <v>78</v>
      </c>
      <c r="F69" s="17" t="s">
        <v>75</v>
      </c>
      <c r="G69" s="18">
        <v>6531000</v>
      </c>
      <c r="H69">
        <v>2023</v>
      </c>
    </row>
    <row r="70" spans="1:13" ht="15.75" hidden="1" customHeight="1">
      <c r="A70" s="17" t="s">
        <v>209</v>
      </c>
      <c r="B70" s="17" t="s">
        <v>210</v>
      </c>
      <c r="C70" s="32" t="s">
        <v>455</v>
      </c>
      <c r="D70" s="17" t="s">
        <v>103</v>
      </c>
      <c r="E70" s="17" t="s">
        <v>78</v>
      </c>
      <c r="F70" s="17" t="s">
        <v>75</v>
      </c>
      <c r="G70" s="18">
        <v>3276000</v>
      </c>
      <c r="H70">
        <v>2024</v>
      </c>
    </row>
    <row r="71" spans="1:13" ht="15.75" hidden="1" customHeight="1">
      <c r="A71" s="17" t="s">
        <v>141</v>
      </c>
      <c r="B71" s="27" t="s">
        <v>142</v>
      </c>
      <c r="C71" s="32" t="s">
        <v>456</v>
      </c>
      <c r="D71" s="17" t="s">
        <v>68</v>
      </c>
      <c r="E71" s="17" t="s">
        <v>78</v>
      </c>
      <c r="F71" s="17" t="s">
        <v>70</v>
      </c>
      <c r="G71" s="18">
        <v>3554000</v>
      </c>
      <c r="H71">
        <v>2021</v>
      </c>
      <c r="M71">
        <v>2025</v>
      </c>
    </row>
    <row r="72" spans="1:13" ht="15.75" customHeight="1">
      <c r="A72" s="17" t="s">
        <v>213</v>
      </c>
      <c r="B72" s="17" t="s">
        <v>214</v>
      </c>
      <c r="C72" s="32" t="s">
        <v>457</v>
      </c>
      <c r="D72" s="17" t="s">
        <v>109</v>
      </c>
      <c r="E72" s="17" t="s">
        <v>92</v>
      </c>
      <c r="F72" s="17" t="s">
        <v>70</v>
      </c>
      <c r="G72" s="18">
        <v>141000</v>
      </c>
      <c r="H72">
        <v>2023</v>
      </c>
    </row>
    <row r="73" spans="1:13" ht="15.75" customHeight="1">
      <c r="A73" s="17" t="s">
        <v>105</v>
      </c>
      <c r="B73" s="17" t="s">
        <v>106</v>
      </c>
      <c r="C73" s="32" t="s">
        <v>458</v>
      </c>
      <c r="D73" s="17" t="s">
        <v>103</v>
      </c>
      <c r="E73" s="17" t="s">
        <v>92</v>
      </c>
      <c r="F73" s="17" t="s">
        <v>75</v>
      </c>
      <c r="G73" s="18">
        <v>652000</v>
      </c>
      <c r="H73">
        <v>2023</v>
      </c>
    </row>
    <row r="74" spans="1:13" ht="15.75" hidden="1" customHeight="1">
      <c r="A74" s="17" t="s">
        <v>207</v>
      </c>
      <c r="B74" s="17" t="s">
        <v>208</v>
      </c>
      <c r="C74" s="32">
        <v>46006</v>
      </c>
      <c r="D74" s="17" t="s">
        <v>73</v>
      </c>
      <c r="E74" s="17" t="s">
        <v>104</v>
      </c>
      <c r="F74" s="17" t="s">
        <v>75</v>
      </c>
      <c r="G74" s="18">
        <v>19501000</v>
      </c>
      <c r="H74">
        <v>2025</v>
      </c>
      <c r="J74">
        <v>2025</v>
      </c>
    </row>
    <row r="75" spans="1:13" ht="15.75" customHeight="1">
      <c r="A75" s="17" t="s">
        <v>259</v>
      </c>
      <c r="B75" s="17" t="s">
        <v>260</v>
      </c>
      <c r="C75" s="32">
        <v>46003</v>
      </c>
      <c r="D75" s="17" t="s">
        <v>68</v>
      </c>
      <c r="E75" s="17" t="s">
        <v>92</v>
      </c>
      <c r="F75" s="17" t="s">
        <v>70</v>
      </c>
      <c r="G75" s="18">
        <v>187000</v>
      </c>
      <c r="H75">
        <v>2025</v>
      </c>
    </row>
    <row r="76" spans="1:13" ht="15.75" customHeight="1">
      <c r="A76" s="17" t="s">
        <v>145</v>
      </c>
      <c r="B76" s="17" t="s">
        <v>146</v>
      </c>
      <c r="C76" s="32">
        <v>46002</v>
      </c>
      <c r="D76" s="17" t="s">
        <v>91</v>
      </c>
      <c r="E76" s="17" t="s">
        <v>92</v>
      </c>
      <c r="F76" s="17" t="s">
        <v>75</v>
      </c>
      <c r="G76" s="18">
        <v>675000</v>
      </c>
      <c r="H76">
        <v>2025</v>
      </c>
    </row>
    <row r="77" spans="1:13" ht="15.75" hidden="1" customHeight="1">
      <c r="A77" s="17" t="s">
        <v>307</v>
      </c>
      <c r="B77" s="17" t="s">
        <v>308</v>
      </c>
      <c r="C77" s="32">
        <v>45999</v>
      </c>
      <c r="D77" s="17" t="s">
        <v>103</v>
      </c>
      <c r="E77" s="17" t="s">
        <v>69</v>
      </c>
      <c r="F77" s="17" t="s">
        <v>70</v>
      </c>
      <c r="G77" s="18">
        <v>2079000</v>
      </c>
      <c r="H77">
        <v>2025</v>
      </c>
    </row>
    <row r="78" spans="1:13" ht="15.75" hidden="1" customHeight="1">
      <c r="A78" s="17" t="s">
        <v>107</v>
      </c>
      <c r="B78" s="17" t="s">
        <v>108</v>
      </c>
      <c r="C78" s="32">
        <v>45997</v>
      </c>
      <c r="D78" s="17" t="s">
        <v>109</v>
      </c>
      <c r="E78" s="17" t="s">
        <v>74</v>
      </c>
      <c r="F78" s="17" t="s">
        <v>70</v>
      </c>
      <c r="G78" s="18">
        <v>194000</v>
      </c>
      <c r="H78">
        <v>2025</v>
      </c>
    </row>
    <row r="79" spans="1:13" ht="15.75" hidden="1" customHeight="1">
      <c r="A79" s="17" t="s">
        <v>279</v>
      </c>
      <c r="B79" s="17" t="s">
        <v>280</v>
      </c>
      <c r="C79" s="32">
        <v>45993</v>
      </c>
      <c r="D79" s="17" t="s">
        <v>103</v>
      </c>
      <c r="E79" s="17" t="s">
        <v>78</v>
      </c>
      <c r="F79" s="17" t="s">
        <v>70</v>
      </c>
      <c r="G79" s="18">
        <v>1971000</v>
      </c>
      <c r="H79">
        <v>2025</v>
      </c>
    </row>
    <row r="80" spans="1:13" ht="15.75" hidden="1" customHeight="1">
      <c r="A80" s="17" t="s">
        <v>235</v>
      </c>
      <c r="B80" s="17" t="s">
        <v>236</v>
      </c>
      <c r="C80" s="32">
        <v>45976</v>
      </c>
      <c r="D80" s="17" t="s">
        <v>68</v>
      </c>
      <c r="E80" s="17" t="s">
        <v>74</v>
      </c>
      <c r="F80" s="17" t="s">
        <v>70</v>
      </c>
      <c r="G80" s="18">
        <v>175000</v>
      </c>
      <c r="H80">
        <v>2025</v>
      </c>
    </row>
    <row r="81" spans="1:8" ht="15.75" hidden="1" customHeight="1">
      <c r="A81" s="17" t="s">
        <v>175</v>
      </c>
      <c r="B81" s="17" t="s">
        <v>176</v>
      </c>
      <c r="C81" s="32">
        <v>45972</v>
      </c>
      <c r="D81" s="17" t="s">
        <v>103</v>
      </c>
      <c r="E81" s="17" t="s">
        <v>104</v>
      </c>
      <c r="F81" s="17" t="s">
        <v>70</v>
      </c>
      <c r="G81" s="18">
        <v>13905000</v>
      </c>
      <c r="H81">
        <v>2025</v>
      </c>
    </row>
    <row r="82" spans="1:8" ht="15.75" hidden="1" customHeight="1">
      <c r="A82" s="17" t="s">
        <v>197</v>
      </c>
      <c r="B82" s="17" t="s">
        <v>198</v>
      </c>
      <c r="C82" s="32">
        <v>45970</v>
      </c>
      <c r="D82" s="17" t="s">
        <v>103</v>
      </c>
      <c r="E82" s="17" t="s">
        <v>78</v>
      </c>
      <c r="F82" s="17" t="s">
        <v>70</v>
      </c>
      <c r="G82" s="18">
        <v>2887000</v>
      </c>
      <c r="H82">
        <v>2025</v>
      </c>
    </row>
    <row r="83" spans="1:8" ht="15.75" hidden="1" customHeight="1">
      <c r="A83" s="17" t="s">
        <v>76</v>
      </c>
      <c r="B83" s="17" t="s">
        <v>77</v>
      </c>
      <c r="C83" s="32">
        <v>45966</v>
      </c>
      <c r="D83" s="17" t="s">
        <v>73</v>
      </c>
      <c r="E83" s="17" t="s">
        <v>78</v>
      </c>
      <c r="F83" s="17" t="s">
        <v>75</v>
      </c>
      <c r="G83" s="18">
        <v>7005000</v>
      </c>
      <c r="H83">
        <v>2025</v>
      </c>
    </row>
    <row r="84" spans="1:8" ht="15.75" hidden="1" customHeight="1">
      <c r="A84" s="17" t="s">
        <v>169</v>
      </c>
      <c r="B84" s="17" t="s">
        <v>170</v>
      </c>
      <c r="C84" s="32">
        <v>45965</v>
      </c>
      <c r="D84" s="17" t="s">
        <v>109</v>
      </c>
      <c r="E84" s="17" t="s">
        <v>88</v>
      </c>
      <c r="F84" s="17" t="s">
        <v>75</v>
      </c>
      <c r="G84" s="18">
        <v>4405000</v>
      </c>
      <c r="H84">
        <v>2025</v>
      </c>
    </row>
    <row r="85" spans="1:8" ht="15.75" hidden="1" customHeight="1">
      <c r="A85" s="17" t="s">
        <v>195</v>
      </c>
      <c r="B85" s="17" t="s">
        <v>196</v>
      </c>
      <c r="C85" s="32">
        <v>45965</v>
      </c>
      <c r="D85" s="17" t="s">
        <v>114</v>
      </c>
      <c r="E85" s="17" t="s">
        <v>78</v>
      </c>
      <c r="F85" s="17" t="s">
        <v>75</v>
      </c>
      <c r="G85" s="18">
        <v>5865000</v>
      </c>
      <c r="H85">
        <v>2025</v>
      </c>
    </row>
    <row r="86" spans="1:8" ht="15.75" hidden="1" customHeight="1">
      <c r="A86" s="17" t="s">
        <v>295</v>
      </c>
      <c r="B86" s="17" t="s">
        <v>296</v>
      </c>
      <c r="C86" s="32">
        <v>45962</v>
      </c>
      <c r="D86" s="17" t="s">
        <v>73</v>
      </c>
      <c r="E86" s="17" t="s">
        <v>104</v>
      </c>
      <c r="F86" s="17" t="s">
        <v>75</v>
      </c>
      <c r="G86" s="18">
        <v>16454000</v>
      </c>
      <c r="H86">
        <v>2025</v>
      </c>
    </row>
    <row r="87" spans="1:8" ht="15.75" hidden="1" customHeight="1">
      <c r="A87" s="17" t="s">
        <v>257</v>
      </c>
      <c r="B87" s="17" t="s">
        <v>258</v>
      </c>
      <c r="C87" s="32">
        <v>45912</v>
      </c>
      <c r="D87" s="17" t="s">
        <v>103</v>
      </c>
      <c r="E87" s="17" t="s">
        <v>78</v>
      </c>
      <c r="F87" s="17" t="s">
        <v>75</v>
      </c>
      <c r="G87" s="18">
        <v>4324000</v>
      </c>
      <c r="H87">
        <v>2025</v>
      </c>
    </row>
    <row r="88" spans="1:8" ht="15.75" hidden="1" customHeight="1">
      <c r="A88" s="17" t="s">
        <v>285</v>
      </c>
      <c r="B88" s="17" t="s">
        <v>286</v>
      </c>
      <c r="C88" s="32">
        <v>45881</v>
      </c>
      <c r="D88" s="17" t="s">
        <v>109</v>
      </c>
      <c r="E88" s="17" t="s">
        <v>74</v>
      </c>
      <c r="F88" s="17" t="s">
        <v>75</v>
      </c>
      <c r="G88" s="18">
        <v>74000</v>
      </c>
      <c r="H88">
        <v>2025</v>
      </c>
    </row>
    <row r="89" spans="1:8" ht="15.75" hidden="1" customHeight="1">
      <c r="A89" s="17" t="s">
        <v>249</v>
      </c>
      <c r="B89" s="17" t="s">
        <v>250</v>
      </c>
      <c r="C89" s="32">
        <v>45871</v>
      </c>
      <c r="D89" s="17" t="s">
        <v>68</v>
      </c>
      <c r="E89" s="17" t="s">
        <v>69</v>
      </c>
      <c r="F89" s="17" t="s">
        <v>70</v>
      </c>
      <c r="G89" s="18">
        <v>1990000</v>
      </c>
      <c r="H89">
        <v>2025</v>
      </c>
    </row>
    <row r="90" spans="1:8" ht="15.75" hidden="1" customHeight="1">
      <c r="A90" s="17" t="s">
        <v>303</v>
      </c>
      <c r="B90" s="17" t="s">
        <v>304</v>
      </c>
      <c r="C90" s="32">
        <v>45830</v>
      </c>
      <c r="D90" s="17" t="s">
        <v>109</v>
      </c>
      <c r="E90" s="17" t="s">
        <v>74</v>
      </c>
      <c r="F90" s="17" t="s">
        <v>70</v>
      </c>
      <c r="G90" s="18">
        <v>176000</v>
      </c>
      <c r="H90">
        <v>2025</v>
      </c>
    </row>
    <row r="91" spans="1:8" ht="15.75" customHeight="1">
      <c r="A91" s="17" t="s">
        <v>253</v>
      </c>
      <c r="B91" s="17" t="s">
        <v>254</v>
      </c>
      <c r="C91" s="32">
        <v>45788</v>
      </c>
      <c r="D91" s="17" t="s">
        <v>91</v>
      </c>
      <c r="E91" s="17" t="s">
        <v>92</v>
      </c>
      <c r="F91" s="17" t="s">
        <v>75</v>
      </c>
      <c r="G91" s="18">
        <v>452000</v>
      </c>
      <c r="H91">
        <v>2025</v>
      </c>
    </row>
    <row r="92" spans="1:8" ht="15.75" hidden="1" customHeight="1">
      <c r="A92" s="17" t="s">
        <v>165</v>
      </c>
      <c r="B92" s="17" t="s">
        <v>166</v>
      </c>
      <c r="C92" s="32">
        <v>45786</v>
      </c>
      <c r="D92" s="17" t="s">
        <v>83</v>
      </c>
      <c r="E92" s="17" t="s">
        <v>69</v>
      </c>
      <c r="F92" s="17" t="s">
        <v>75</v>
      </c>
      <c r="G92" s="18">
        <v>1900000</v>
      </c>
      <c r="H92">
        <v>2025</v>
      </c>
    </row>
    <row r="93" spans="1:8" ht="15.75" hidden="1" customHeight="1">
      <c r="A93" s="17" t="s">
        <v>321</v>
      </c>
      <c r="B93" s="17" t="s">
        <v>322</v>
      </c>
      <c r="C93" s="32">
        <v>45778</v>
      </c>
      <c r="D93" s="17" t="s">
        <v>91</v>
      </c>
      <c r="E93" s="17" t="s">
        <v>78</v>
      </c>
      <c r="F93" s="17" t="s">
        <v>70</v>
      </c>
      <c r="G93" s="18">
        <v>3005000</v>
      </c>
      <c r="H93">
        <v>2025</v>
      </c>
    </row>
    <row r="94" spans="1:8" ht="15.75" hidden="1" customHeight="1">
      <c r="A94" s="17" t="s">
        <v>233</v>
      </c>
      <c r="B94" s="17" t="s">
        <v>234</v>
      </c>
      <c r="C94" s="32">
        <v>45755</v>
      </c>
      <c r="D94" s="17" t="s">
        <v>114</v>
      </c>
      <c r="E94" s="17" t="s">
        <v>69</v>
      </c>
      <c r="F94" s="17" t="s">
        <v>70</v>
      </c>
      <c r="G94" s="18">
        <v>2635000</v>
      </c>
      <c r="H94">
        <v>2025</v>
      </c>
    </row>
    <row r="95" spans="1:8" ht="15.75" hidden="1" customHeight="1">
      <c r="A95" s="17" t="s">
        <v>99</v>
      </c>
      <c r="B95" s="17" t="s">
        <v>100</v>
      </c>
      <c r="C95" s="32">
        <v>45752</v>
      </c>
      <c r="D95" s="17" t="s">
        <v>73</v>
      </c>
      <c r="E95" s="17" t="s">
        <v>78</v>
      </c>
      <c r="F95" s="17" t="s">
        <v>75</v>
      </c>
      <c r="G95" s="18">
        <v>2169000</v>
      </c>
      <c r="H95">
        <v>2025</v>
      </c>
    </row>
    <row r="96" spans="1:8" ht="15.75" hidden="1" customHeight="1">
      <c r="A96" s="17" t="s">
        <v>317</v>
      </c>
      <c r="B96" s="17" t="s">
        <v>318</v>
      </c>
      <c r="C96" s="32">
        <v>45724</v>
      </c>
      <c r="D96" s="17" t="s">
        <v>114</v>
      </c>
      <c r="E96" s="17" t="s">
        <v>78</v>
      </c>
      <c r="F96" s="17" t="s">
        <v>75</v>
      </c>
      <c r="G96" s="18">
        <v>6079000</v>
      </c>
      <c r="H96">
        <v>2025</v>
      </c>
    </row>
    <row r="97" spans="1:8" ht="15.75" hidden="1" customHeight="1">
      <c r="A97" s="17" t="s">
        <v>305</v>
      </c>
      <c r="B97" s="17" t="s">
        <v>306</v>
      </c>
      <c r="C97" s="32">
        <v>45722</v>
      </c>
      <c r="D97" s="17" t="s">
        <v>109</v>
      </c>
      <c r="E97" s="17" t="s">
        <v>74</v>
      </c>
      <c r="F97" s="17" t="s">
        <v>75</v>
      </c>
      <c r="G97" s="18">
        <v>83000</v>
      </c>
      <c r="H97">
        <v>2025</v>
      </c>
    </row>
    <row r="98" spans="1:8" ht="15.75" hidden="1" customHeight="1">
      <c r="A98" s="17" t="s">
        <v>331</v>
      </c>
      <c r="B98" s="17" t="s">
        <v>332</v>
      </c>
      <c r="C98" s="32">
        <v>45700</v>
      </c>
      <c r="D98" s="17" t="s">
        <v>68</v>
      </c>
      <c r="E98" s="17" t="s">
        <v>88</v>
      </c>
      <c r="F98" s="17" t="s">
        <v>70</v>
      </c>
      <c r="G98" s="18">
        <v>3756000</v>
      </c>
      <c r="H98">
        <v>2025</v>
      </c>
    </row>
    <row r="99" spans="1:8" ht="15.75" hidden="1" customHeight="1">
      <c r="A99" s="17" t="s">
        <v>287</v>
      </c>
      <c r="B99" s="17" t="s">
        <v>288</v>
      </c>
      <c r="C99" s="32">
        <v>45698</v>
      </c>
      <c r="D99" s="17" t="s">
        <v>109</v>
      </c>
      <c r="E99" s="17" t="s">
        <v>74</v>
      </c>
      <c r="F99" s="17" t="s">
        <v>75</v>
      </c>
      <c r="G99" s="18">
        <v>73000</v>
      </c>
      <c r="H99">
        <v>2025</v>
      </c>
    </row>
    <row r="100" spans="1:8" ht="15.75" hidden="1" customHeight="1">
      <c r="A100" s="17" t="s">
        <v>149</v>
      </c>
      <c r="B100" s="17" t="s">
        <v>150</v>
      </c>
      <c r="C100" s="32">
        <v>45696</v>
      </c>
      <c r="D100" s="17" t="s">
        <v>103</v>
      </c>
      <c r="E100" s="17" t="s">
        <v>104</v>
      </c>
      <c r="F100" s="17" t="s">
        <v>75</v>
      </c>
      <c r="G100" s="18">
        <v>30167000</v>
      </c>
      <c r="H100">
        <v>2025</v>
      </c>
    </row>
    <row r="101" spans="1:8" ht="15.75" hidden="1" customHeight="1">
      <c r="A101" s="17" t="s">
        <v>269</v>
      </c>
      <c r="B101" s="17" t="s">
        <v>270</v>
      </c>
      <c r="C101" s="32">
        <v>45659</v>
      </c>
      <c r="D101" s="17" t="s">
        <v>114</v>
      </c>
      <c r="E101" s="17" t="s">
        <v>69</v>
      </c>
      <c r="F101" s="17" t="s">
        <v>75</v>
      </c>
      <c r="G101" s="18">
        <v>4815000</v>
      </c>
      <c r="H101">
        <v>2025</v>
      </c>
    </row>
    <row r="102" spans="1:8" ht="15.75" hidden="1" customHeight="1">
      <c r="A102" s="17" t="s">
        <v>151</v>
      </c>
      <c r="B102" s="17" t="s">
        <v>152</v>
      </c>
      <c r="C102" s="32">
        <v>45631</v>
      </c>
      <c r="D102" s="17" t="s">
        <v>103</v>
      </c>
      <c r="E102" s="17" t="s">
        <v>78</v>
      </c>
      <c r="F102" s="17" t="s">
        <v>75</v>
      </c>
      <c r="G102" s="18">
        <v>5134000</v>
      </c>
      <c r="H102">
        <v>2024</v>
      </c>
    </row>
    <row r="103" spans="1:8" ht="15.75" hidden="1" customHeight="1">
      <c r="A103" s="17" t="s">
        <v>323</v>
      </c>
      <c r="B103" s="17" t="s">
        <v>324</v>
      </c>
      <c r="C103" s="32">
        <v>45627</v>
      </c>
      <c r="D103" s="17" t="s">
        <v>73</v>
      </c>
      <c r="E103" s="17" t="s">
        <v>74</v>
      </c>
      <c r="F103" s="17" t="s">
        <v>70</v>
      </c>
      <c r="G103" s="18">
        <v>130000</v>
      </c>
      <c r="H103">
        <v>2024</v>
      </c>
    </row>
    <row r="104" spans="1:8" ht="15.75" hidden="1" customHeight="1">
      <c r="A104" s="17" t="s">
        <v>137</v>
      </c>
      <c r="B104" s="17" t="s">
        <v>138</v>
      </c>
      <c r="C104" s="32">
        <v>45569</v>
      </c>
      <c r="D104" s="17" t="s">
        <v>109</v>
      </c>
      <c r="E104" s="17" t="s">
        <v>78</v>
      </c>
      <c r="F104" s="17" t="s">
        <v>70</v>
      </c>
      <c r="G104" s="18">
        <v>4522000</v>
      </c>
      <c r="H104">
        <v>2024</v>
      </c>
    </row>
    <row r="105" spans="1:8" ht="15.75" hidden="1" customHeight="1">
      <c r="A105" s="17" t="s">
        <v>309</v>
      </c>
      <c r="B105" s="17" t="s">
        <v>310</v>
      </c>
      <c r="C105" s="32">
        <v>45569</v>
      </c>
      <c r="D105" s="17" t="s">
        <v>109</v>
      </c>
      <c r="E105" s="17" t="s">
        <v>74</v>
      </c>
      <c r="F105" s="17" t="s">
        <v>70</v>
      </c>
      <c r="G105" s="18">
        <v>97000</v>
      </c>
      <c r="H105">
        <v>2024</v>
      </c>
    </row>
    <row r="106" spans="1:8" ht="15.75" hidden="1" customHeight="1">
      <c r="A106" s="17" t="s">
        <v>343</v>
      </c>
      <c r="B106" s="17" t="s">
        <v>344</v>
      </c>
      <c r="C106" s="32">
        <v>45544</v>
      </c>
      <c r="D106" s="17" t="s">
        <v>83</v>
      </c>
      <c r="E106" s="17" t="s">
        <v>78</v>
      </c>
      <c r="F106" s="17" t="s">
        <v>75</v>
      </c>
      <c r="G106" s="18">
        <v>4857000</v>
      </c>
      <c r="H106">
        <v>2024</v>
      </c>
    </row>
    <row r="107" spans="1:8" ht="15.75" customHeight="1">
      <c r="A107" s="17" t="s">
        <v>181</v>
      </c>
      <c r="B107" s="17" t="s">
        <v>182</v>
      </c>
      <c r="C107" s="32">
        <v>45514</v>
      </c>
      <c r="D107" s="17" t="s">
        <v>109</v>
      </c>
      <c r="E107" s="17" t="s">
        <v>92</v>
      </c>
      <c r="F107" s="17" t="s">
        <v>75</v>
      </c>
      <c r="G107" s="18">
        <v>734000</v>
      </c>
      <c r="H107">
        <v>2024</v>
      </c>
    </row>
    <row r="108" spans="1:8" ht="15.75" hidden="1" customHeight="1">
      <c r="A108" s="17" t="s">
        <v>349</v>
      </c>
      <c r="B108" s="17" t="s">
        <v>350</v>
      </c>
      <c r="C108" s="32">
        <v>45513</v>
      </c>
      <c r="D108" s="17" t="s">
        <v>73</v>
      </c>
      <c r="E108" s="17" t="s">
        <v>74</v>
      </c>
      <c r="F108" s="17" t="s">
        <v>75</v>
      </c>
      <c r="G108" s="18">
        <v>289000</v>
      </c>
      <c r="H108">
        <v>2024</v>
      </c>
    </row>
    <row r="109" spans="1:8" ht="15.75" customHeight="1">
      <c r="A109" s="17" t="s">
        <v>129</v>
      </c>
      <c r="B109" s="17" t="s">
        <v>130</v>
      </c>
      <c r="C109" s="32">
        <v>45512</v>
      </c>
      <c r="D109" s="17" t="s">
        <v>114</v>
      </c>
      <c r="E109" s="17" t="s">
        <v>92</v>
      </c>
      <c r="F109" s="17" t="s">
        <v>70</v>
      </c>
      <c r="G109" s="18">
        <v>298000</v>
      </c>
      <c r="H109">
        <v>2024</v>
      </c>
    </row>
    <row r="110" spans="1:8" ht="15.75" hidden="1" customHeight="1">
      <c r="A110" s="17" t="s">
        <v>243</v>
      </c>
      <c r="B110" s="17" t="s">
        <v>244</v>
      </c>
      <c r="C110" s="32">
        <v>45509</v>
      </c>
      <c r="D110" s="17" t="s">
        <v>91</v>
      </c>
      <c r="E110" s="17" t="s">
        <v>74</v>
      </c>
      <c r="F110" s="17" t="s">
        <v>75</v>
      </c>
      <c r="G110" s="18">
        <v>136000</v>
      </c>
      <c r="H110">
        <v>2024</v>
      </c>
    </row>
    <row r="111" spans="1:8" ht="15.75" customHeight="1">
      <c r="A111" s="17" t="s">
        <v>89</v>
      </c>
      <c r="B111" s="17" t="s">
        <v>90</v>
      </c>
      <c r="C111" s="32">
        <v>45485</v>
      </c>
      <c r="D111" s="17" t="s">
        <v>91</v>
      </c>
      <c r="E111" s="17" t="s">
        <v>92</v>
      </c>
      <c r="F111" s="17" t="s">
        <v>75</v>
      </c>
      <c r="G111" s="18">
        <v>800000</v>
      </c>
      <c r="H111">
        <v>2024</v>
      </c>
    </row>
    <row r="112" spans="1:8" ht="15.75" customHeight="1">
      <c r="A112" s="17" t="s">
        <v>289</v>
      </c>
      <c r="B112" s="17" t="s">
        <v>290</v>
      </c>
      <c r="C112" s="32">
        <v>45481</v>
      </c>
      <c r="D112" s="17" t="s">
        <v>109</v>
      </c>
      <c r="E112" s="17" t="s">
        <v>92</v>
      </c>
      <c r="F112" s="17" t="s">
        <v>75</v>
      </c>
      <c r="G112" s="18">
        <v>722000</v>
      </c>
      <c r="H112">
        <v>2024</v>
      </c>
    </row>
    <row r="113" spans="1:8" ht="15.75" hidden="1" customHeight="1">
      <c r="A113" s="17" t="s">
        <v>179</v>
      </c>
      <c r="B113" s="17" t="s">
        <v>180</v>
      </c>
      <c r="C113" s="32">
        <v>45418</v>
      </c>
      <c r="D113" s="17" t="s">
        <v>103</v>
      </c>
      <c r="E113" s="17" t="s">
        <v>104</v>
      </c>
      <c r="F113" s="17" t="s">
        <v>70</v>
      </c>
      <c r="G113" s="18">
        <v>15481000</v>
      </c>
      <c r="H113">
        <v>2024</v>
      </c>
    </row>
    <row r="114" spans="1:8" ht="15.75" hidden="1" customHeight="1">
      <c r="A114" s="17" t="s">
        <v>143</v>
      </c>
      <c r="B114" s="17" t="s">
        <v>144</v>
      </c>
      <c r="C114" s="32">
        <v>45409</v>
      </c>
      <c r="D114" s="17" t="s">
        <v>68</v>
      </c>
      <c r="E114" s="17" t="s">
        <v>88</v>
      </c>
      <c r="F114" s="17" t="s">
        <v>75</v>
      </c>
      <c r="G114" s="18">
        <v>4375000</v>
      </c>
      <c r="H114">
        <v>2024</v>
      </c>
    </row>
    <row r="115" spans="1:8" ht="15.75" hidden="1" customHeight="1">
      <c r="A115" s="17" t="s">
        <v>93</v>
      </c>
      <c r="B115" s="17" t="s">
        <v>94</v>
      </c>
      <c r="C115" s="32">
        <v>45390</v>
      </c>
      <c r="D115" s="17" t="s">
        <v>91</v>
      </c>
      <c r="E115" s="17" t="s">
        <v>74</v>
      </c>
      <c r="F115" s="17" t="s">
        <v>70</v>
      </c>
      <c r="G115" s="18">
        <v>108000</v>
      </c>
      <c r="H115">
        <v>2024</v>
      </c>
    </row>
    <row r="116" spans="1:8" ht="15.75" hidden="1" customHeight="1">
      <c r="A116" s="17" t="s">
        <v>127</v>
      </c>
      <c r="B116" s="17" t="s">
        <v>128</v>
      </c>
      <c r="C116" s="32">
        <v>45390</v>
      </c>
      <c r="D116" s="17" t="s">
        <v>103</v>
      </c>
      <c r="E116" s="17" t="s">
        <v>69</v>
      </c>
      <c r="F116" s="17" t="s">
        <v>75</v>
      </c>
      <c r="G116" s="18">
        <v>3505000</v>
      </c>
      <c r="H116">
        <v>2024</v>
      </c>
    </row>
    <row r="117" spans="1:8" ht="15.75" hidden="1" customHeight="1">
      <c r="A117" s="17" t="s">
        <v>163</v>
      </c>
      <c r="B117" s="17" t="s">
        <v>164</v>
      </c>
      <c r="C117" s="32">
        <v>45354</v>
      </c>
      <c r="D117" s="17" t="s">
        <v>114</v>
      </c>
      <c r="E117" s="17" t="s">
        <v>69</v>
      </c>
      <c r="F117" s="17" t="s">
        <v>70</v>
      </c>
      <c r="G117" s="18">
        <v>3515000</v>
      </c>
      <c r="H117">
        <v>2024</v>
      </c>
    </row>
    <row r="118" spans="1:8" ht="15.75" hidden="1" customHeight="1">
      <c r="A118" s="17" t="s">
        <v>110</v>
      </c>
      <c r="B118" s="17" t="s">
        <v>111</v>
      </c>
      <c r="C118" s="32">
        <v>45337</v>
      </c>
      <c r="D118" s="17" t="s">
        <v>103</v>
      </c>
      <c r="E118" s="17" t="s">
        <v>88</v>
      </c>
      <c r="F118" s="17" t="s">
        <v>70</v>
      </c>
      <c r="G118" s="18">
        <v>4698000</v>
      </c>
      <c r="H118">
        <v>2024</v>
      </c>
    </row>
    <row r="119" spans="1:8" ht="15.75" hidden="1" customHeight="1">
      <c r="A119" s="17" t="s">
        <v>117</v>
      </c>
      <c r="B119" s="17" t="s">
        <v>118</v>
      </c>
      <c r="C119" s="32">
        <v>45261</v>
      </c>
      <c r="D119" s="17" t="s">
        <v>73</v>
      </c>
      <c r="E119" s="17" t="s">
        <v>104</v>
      </c>
      <c r="F119" s="17" t="s">
        <v>75</v>
      </c>
      <c r="G119" s="18">
        <v>31173000</v>
      </c>
      <c r="H119">
        <v>2023</v>
      </c>
    </row>
    <row r="120" spans="1:8" ht="15.75" hidden="1" customHeight="1">
      <c r="A120" s="17" t="s">
        <v>239</v>
      </c>
      <c r="B120" s="17" t="s">
        <v>240</v>
      </c>
      <c r="C120" s="32">
        <v>45200</v>
      </c>
      <c r="D120" s="17" t="s">
        <v>109</v>
      </c>
      <c r="E120" s="17" t="s">
        <v>74</v>
      </c>
      <c r="F120" s="17" t="s">
        <v>75</v>
      </c>
      <c r="G120" s="18">
        <v>144000</v>
      </c>
      <c r="H120">
        <v>2023</v>
      </c>
    </row>
    <row r="121" spans="1:8" ht="15.75" hidden="1" customHeight="1">
      <c r="A121" s="17" t="s">
        <v>157</v>
      </c>
      <c r="B121" s="17" t="s">
        <v>158</v>
      </c>
      <c r="C121" s="32">
        <v>45171</v>
      </c>
      <c r="D121" s="17" t="s">
        <v>91</v>
      </c>
      <c r="E121" s="17" t="s">
        <v>74</v>
      </c>
      <c r="F121" s="17" t="s">
        <v>70</v>
      </c>
      <c r="G121" s="18">
        <v>205000</v>
      </c>
      <c r="H121">
        <v>2023</v>
      </c>
    </row>
    <row r="122" spans="1:8" ht="15.75" hidden="1" customHeight="1">
      <c r="A122" s="17" t="s">
        <v>203</v>
      </c>
      <c r="B122" s="17" t="s">
        <v>204</v>
      </c>
      <c r="C122" s="32">
        <v>45089</v>
      </c>
      <c r="D122" s="17" t="s">
        <v>83</v>
      </c>
      <c r="E122" s="17" t="s">
        <v>88</v>
      </c>
      <c r="F122" s="17" t="s">
        <v>70</v>
      </c>
      <c r="G122" s="18">
        <v>3923000</v>
      </c>
      <c r="H122">
        <v>2023</v>
      </c>
    </row>
    <row r="123" spans="1:8" ht="15.75" hidden="1" customHeight="1">
      <c r="A123" s="17" t="s">
        <v>245</v>
      </c>
      <c r="B123" s="17" t="s">
        <v>246</v>
      </c>
      <c r="C123" s="32">
        <v>45089</v>
      </c>
      <c r="D123" s="17" t="s">
        <v>109</v>
      </c>
      <c r="E123" s="17" t="s">
        <v>74</v>
      </c>
      <c r="F123" s="17" t="s">
        <v>70</v>
      </c>
      <c r="G123" s="18">
        <v>168000</v>
      </c>
      <c r="H123">
        <v>2023</v>
      </c>
    </row>
    <row r="124" spans="1:8" ht="15.75" hidden="1" customHeight="1">
      <c r="A124" s="17" t="s">
        <v>231</v>
      </c>
      <c r="B124" s="17" t="s">
        <v>232</v>
      </c>
      <c r="C124" s="32">
        <v>45085</v>
      </c>
      <c r="D124" s="17" t="s">
        <v>83</v>
      </c>
      <c r="E124" s="17" t="s">
        <v>74</v>
      </c>
      <c r="F124" s="17" t="s">
        <v>70</v>
      </c>
      <c r="G124" s="18">
        <v>74000</v>
      </c>
      <c r="H124">
        <v>2023</v>
      </c>
    </row>
    <row r="125" spans="1:8" ht="15.75" hidden="1" customHeight="1">
      <c r="A125" s="17" t="s">
        <v>277</v>
      </c>
      <c r="B125" s="17" t="s">
        <v>278</v>
      </c>
      <c r="C125" s="32">
        <v>45050</v>
      </c>
      <c r="D125" s="17" t="s">
        <v>68</v>
      </c>
      <c r="E125" s="17" t="s">
        <v>78</v>
      </c>
      <c r="F125" s="17" t="s">
        <v>70</v>
      </c>
      <c r="G125" s="18">
        <v>2151000</v>
      </c>
      <c r="H125">
        <v>2023</v>
      </c>
    </row>
    <row r="126" spans="1:8" ht="15.75" hidden="1" customHeight="1">
      <c r="A126" s="17" t="s">
        <v>79</v>
      </c>
      <c r="B126" s="17" t="s">
        <v>80</v>
      </c>
      <c r="C126" s="32">
        <v>45025</v>
      </c>
      <c r="D126" s="17" t="s">
        <v>73</v>
      </c>
      <c r="E126" s="17" t="s">
        <v>78</v>
      </c>
      <c r="F126" s="17" t="s">
        <v>70</v>
      </c>
      <c r="G126" s="18">
        <v>2850000</v>
      </c>
      <c r="H126">
        <v>2023</v>
      </c>
    </row>
    <row r="127" spans="1:8" ht="15.75" hidden="1" customHeight="1">
      <c r="A127" s="17" t="s">
        <v>97</v>
      </c>
      <c r="B127" s="17" t="s">
        <v>98</v>
      </c>
      <c r="C127" s="32">
        <v>45017</v>
      </c>
      <c r="D127" s="17" t="s">
        <v>73</v>
      </c>
      <c r="E127" s="17" t="s">
        <v>78</v>
      </c>
      <c r="F127" s="17" t="s">
        <v>75</v>
      </c>
      <c r="G127" s="18">
        <v>3845000</v>
      </c>
      <c r="H127">
        <v>2023</v>
      </c>
    </row>
    <row r="128" spans="1:8" ht="15.75" hidden="1" customHeight="1">
      <c r="A128" s="17" t="s">
        <v>313</v>
      </c>
      <c r="B128" s="17" t="s">
        <v>314</v>
      </c>
      <c r="C128" s="32">
        <v>44938</v>
      </c>
      <c r="D128" s="17" t="s">
        <v>114</v>
      </c>
      <c r="E128" s="17" t="s">
        <v>69</v>
      </c>
      <c r="F128" s="17" t="s">
        <v>70</v>
      </c>
      <c r="G128" s="18">
        <v>2646000</v>
      </c>
      <c r="H128">
        <v>2023</v>
      </c>
    </row>
    <row r="129" spans="1:8" ht="15.75" hidden="1" customHeight="1">
      <c r="A129" s="17" t="s">
        <v>227</v>
      </c>
      <c r="B129" s="17" t="s">
        <v>228</v>
      </c>
      <c r="C129" s="32">
        <v>44721</v>
      </c>
      <c r="D129" s="17" t="s">
        <v>109</v>
      </c>
      <c r="E129" s="17" t="s">
        <v>88</v>
      </c>
      <c r="F129" s="17" t="s">
        <v>75</v>
      </c>
      <c r="G129" s="18">
        <v>4049000</v>
      </c>
      <c r="H129">
        <v>2022</v>
      </c>
    </row>
    <row r="130" spans="1:8" ht="15.75" hidden="1" customHeight="1">
      <c r="A130" s="17" t="s">
        <v>311</v>
      </c>
      <c r="B130" s="17" t="s">
        <v>312</v>
      </c>
      <c r="C130" s="32">
        <v>44717</v>
      </c>
      <c r="D130" s="17" t="s">
        <v>73</v>
      </c>
      <c r="E130" s="17" t="s">
        <v>69</v>
      </c>
      <c r="F130" s="17" t="s">
        <v>70</v>
      </c>
      <c r="G130" s="18">
        <v>1523000</v>
      </c>
      <c r="H130">
        <v>2022</v>
      </c>
    </row>
    <row r="131" spans="1:8" ht="15.75" hidden="1" customHeight="1">
      <c r="A131" s="17" t="s">
        <v>273</v>
      </c>
      <c r="B131" s="17" t="s">
        <v>274</v>
      </c>
      <c r="C131" s="32">
        <v>44694</v>
      </c>
      <c r="D131" s="17" t="s">
        <v>109</v>
      </c>
      <c r="E131" s="17" t="s">
        <v>74</v>
      </c>
      <c r="F131" s="17" t="s">
        <v>75</v>
      </c>
      <c r="G131" s="18">
        <v>207000</v>
      </c>
      <c r="H131">
        <v>2022</v>
      </c>
    </row>
    <row r="132" spans="1:8" ht="15.75" hidden="1" customHeight="1">
      <c r="A132" s="17" t="s">
        <v>153</v>
      </c>
      <c r="B132" s="17" t="s">
        <v>154</v>
      </c>
      <c r="C132" s="32">
        <v>44683</v>
      </c>
      <c r="D132" s="17" t="s">
        <v>83</v>
      </c>
      <c r="E132" s="17" t="s">
        <v>104</v>
      </c>
      <c r="F132" s="17" t="s">
        <v>75</v>
      </c>
      <c r="G132" s="18">
        <v>23105000</v>
      </c>
      <c r="H132">
        <v>2022</v>
      </c>
    </row>
    <row r="133" spans="1:8" ht="15.75" hidden="1" customHeight="1">
      <c r="A133" s="17" t="s">
        <v>217</v>
      </c>
      <c r="B133" s="17" t="s">
        <v>218</v>
      </c>
      <c r="C133" s="32">
        <v>44662</v>
      </c>
      <c r="D133" s="17" t="s">
        <v>109</v>
      </c>
      <c r="E133" s="17" t="s">
        <v>74</v>
      </c>
      <c r="F133" s="17" t="s">
        <v>75</v>
      </c>
      <c r="G133" s="18">
        <v>243000</v>
      </c>
      <c r="H133">
        <v>2022</v>
      </c>
    </row>
    <row r="134" spans="1:8" ht="15.75" hidden="1" customHeight="1">
      <c r="A134" s="17" t="s">
        <v>255</v>
      </c>
      <c r="B134" s="17" t="s">
        <v>256</v>
      </c>
      <c r="C134" s="32">
        <v>44630</v>
      </c>
      <c r="D134" s="17" t="s">
        <v>73</v>
      </c>
      <c r="E134" s="17" t="s">
        <v>69</v>
      </c>
      <c r="F134" s="17" t="s">
        <v>75</v>
      </c>
      <c r="G134" s="18">
        <v>4482000</v>
      </c>
      <c r="H134">
        <v>2022</v>
      </c>
    </row>
    <row r="135" spans="1:8" ht="15.75" hidden="1" customHeight="1">
      <c r="A135" s="17" t="s">
        <v>123</v>
      </c>
      <c r="B135" s="17" t="s">
        <v>124</v>
      </c>
      <c r="C135" s="32">
        <v>44621</v>
      </c>
      <c r="D135" s="17" t="s">
        <v>83</v>
      </c>
      <c r="E135" s="17" t="s">
        <v>78</v>
      </c>
      <c r="F135" s="17" t="s">
        <v>70</v>
      </c>
      <c r="G135" s="18">
        <v>2802000</v>
      </c>
      <c r="H135">
        <v>2022</v>
      </c>
    </row>
    <row r="136" spans="1:8" ht="15.75" customHeight="1">
      <c r="A136" s="17" t="s">
        <v>135</v>
      </c>
      <c r="B136" s="17" t="s">
        <v>136</v>
      </c>
      <c r="C136" s="32">
        <v>44563</v>
      </c>
      <c r="D136" s="17" t="s">
        <v>91</v>
      </c>
      <c r="E136" s="17" t="s">
        <v>92</v>
      </c>
      <c r="F136" s="17" t="s">
        <v>75</v>
      </c>
      <c r="G136" s="18">
        <v>618000</v>
      </c>
      <c r="H136">
        <v>2022</v>
      </c>
    </row>
    <row r="137" spans="1:8" ht="15.75" hidden="1" customHeight="1">
      <c r="A137" s="17" t="s">
        <v>219</v>
      </c>
      <c r="B137" s="17" t="s">
        <v>220</v>
      </c>
      <c r="C137" s="32">
        <v>44446</v>
      </c>
      <c r="D137" s="17" t="s">
        <v>68</v>
      </c>
      <c r="E137" s="17" t="s">
        <v>88</v>
      </c>
      <c r="F137" s="17" t="s">
        <v>75</v>
      </c>
      <c r="G137" s="18">
        <v>7357000</v>
      </c>
      <c r="H137">
        <v>2021</v>
      </c>
    </row>
    <row r="138" spans="1:8" ht="15.75" customHeight="1"/>
    <row r="139" spans="1:8" ht="15.75" customHeight="1"/>
    <row r="140" spans="1:8" ht="15.75" customHeight="1"/>
    <row r="141" spans="1:8" ht="15.75" customHeight="1"/>
    <row r="142" spans="1:8" ht="15.75" customHeight="1"/>
    <row r="143" spans="1:8" ht="15.75" customHeight="1"/>
    <row r="144" spans="1:8"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G137" xr:uid="{00000000-0001-0000-0200-000000000000}">
    <filterColumn colId="4">
      <filters>
        <filter val="Misinformation"/>
      </filters>
    </filterColumn>
    <sortState xmlns:xlrd2="http://schemas.microsoft.com/office/spreadsheetml/2017/richdata2" ref="A3:G137">
      <sortCondition descending="1" ref="C2:C137"/>
    </sortState>
  </autoFilter>
  <phoneticPr fontId="23" type="noConversion"/>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3D5C-8402-BA4F-99AA-0DA85DD04275}">
  <dimension ref="A3:I11"/>
  <sheetViews>
    <sheetView workbookViewId="0">
      <selection activeCell="G36" sqref="G36"/>
    </sheetView>
  </sheetViews>
  <sheetFormatPr defaultColWidth="11.42578125" defaultRowHeight="12.75"/>
  <cols>
    <col min="1" max="1" width="35.42578125" bestFit="1" customWidth="1"/>
    <col min="2" max="2" width="15.85546875" bestFit="1" customWidth="1"/>
    <col min="3" max="3" width="16.7109375" bestFit="1" customWidth="1"/>
    <col min="4" max="4" width="11.140625" bestFit="1" customWidth="1"/>
    <col min="5" max="5" width="12.28515625" bestFit="1" customWidth="1"/>
    <col min="6" max="6" width="13.42578125" bestFit="1" customWidth="1"/>
    <col min="7" max="7" width="19.140625" bestFit="1" customWidth="1"/>
    <col min="8" max="8" width="15.42578125" bestFit="1" customWidth="1"/>
    <col min="9" max="9" width="11.140625" bestFit="1" customWidth="1"/>
    <col min="10" max="10" width="15.42578125" bestFit="1" customWidth="1"/>
    <col min="11" max="11" width="29.140625" bestFit="1" customWidth="1"/>
    <col min="12" max="12" width="23.85546875" bestFit="1" customWidth="1"/>
    <col min="13" max="13" width="16.7109375" bestFit="1" customWidth="1"/>
    <col min="14" max="14" width="13.42578125" bestFit="1" customWidth="1"/>
    <col min="15" max="15" width="19.140625" bestFit="1" customWidth="1"/>
    <col min="16" max="16" width="15.42578125" bestFit="1" customWidth="1"/>
    <col min="17" max="17" width="26.140625" bestFit="1" customWidth="1"/>
    <col min="18" max="18" width="19.85546875" bestFit="1" customWidth="1"/>
    <col min="19" max="19" width="16.7109375" bestFit="1" customWidth="1"/>
    <col min="20" max="20" width="10" bestFit="1" customWidth="1"/>
    <col min="21" max="21" width="13.42578125" bestFit="1" customWidth="1"/>
    <col min="22" max="22" width="19.140625" bestFit="1" customWidth="1"/>
    <col min="23" max="23" width="15.42578125" bestFit="1" customWidth="1"/>
    <col min="24" max="24" width="22" bestFit="1" customWidth="1"/>
    <col min="25" max="25" width="16.7109375" bestFit="1" customWidth="1"/>
    <col min="26" max="26" width="12.28515625" bestFit="1" customWidth="1"/>
    <col min="27" max="27" width="13.42578125" bestFit="1" customWidth="1"/>
    <col min="28" max="28" width="19.140625" bestFit="1" customWidth="1"/>
    <col min="29" max="29" width="15.42578125" bestFit="1" customWidth="1"/>
    <col min="30" max="30" width="17.85546875" bestFit="1" customWidth="1"/>
    <col min="31" max="31" width="20.28515625" bestFit="1" customWidth="1"/>
    <col min="32" max="32" width="16.7109375" bestFit="1" customWidth="1"/>
    <col min="33" max="33" width="10.140625" bestFit="1" customWidth="1"/>
    <col min="34" max="34" width="12.28515625" bestFit="1" customWidth="1"/>
    <col min="35" max="35" width="13.42578125" bestFit="1" customWidth="1"/>
    <col min="36" max="36" width="19.140625" bestFit="1" customWidth="1"/>
    <col min="37" max="37" width="15.42578125" bestFit="1" customWidth="1"/>
    <col min="38" max="38" width="23.140625" bestFit="1" customWidth="1"/>
    <col min="39" max="39" width="10.7109375" bestFit="1" customWidth="1"/>
  </cols>
  <sheetData>
    <row r="3" spans="1:9">
      <c r="A3" s="28" t="s">
        <v>390</v>
      </c>
      <c r="B3" s="28" t="s">
        <v>460</v>
      </c>
    </row>
    <row r="4" spans="1:9">
      <c r="A4" s="28" t="s">
        <v>387</v>
      </c>
      <c r="B4" t="s">
        <v>83</v>
      </c>
      <c r="C4" t="s">
        <v>68</v>
      </c>
      <c r="D4" t="s">
        <v>73</v>
      </c>
      <c r="E4" t="s">
        <v>114</v>
      </c>
      <c r="F4" t="s">
        <v>109</v>
      </c>
      <c r="G4" t="s">
        <v>91</v>
      </c>
      <c r="H4" t="s">
        <v>103</v>
      </c>
      <c r="I4" t="s">
        <v>388</v>
      </c>
    </row>
    <row r="5" spans="1:9">
      <c r="A5" s="29" t="s">
        <v>69</v>
      </c>
      <c r="B5" s="30">
        <v>1900000</v>
      </c>
      <c r="C5" s="30">
        <v>2238000</v>
      </c>
      <c r="D5" s="30">
        <v>2346750</v>
      </c>
      <c r="E5" s="30">
        <v>3438454.5454545454</v>
      </c>
      <c r="F5" s="30"/>
      <c r="G5" s="30"/>
      <c r="H5" s="30">
        <v>2792000</v>
      </c>
      <c r="I5" s="30">
        <v>2792230.769230769</v>
      </c>
    </row>
    <row r="6" spans="1:9">
      <c r="A6" s="29" t="s">
        <v>104</v>
      </c>
      <c r="B6" s="30">
        <v>23105000</v>
      </c>
      <c r="C6" s="30"/>
      <c r="D6" s="30">
        <v>22376000</v>
      </c>
      <c r="E6" s="30"/>
      <c r="F6" s="30"/>
      <c r="G6" s="30"/>
      <c r="H6" s="30">
        <v>17776600</v>
      </c>
      <c r="I6" s="30">
        <v>19901777.777777776</v>
      </c>
    </row>
    <row r="7" spans="1:9">
      <c r="A7" s="29" t="s">
        <v>88</v>
      </c>
      <c r="B7" s="30">
        <v>3155666.6666666665</v>
      </c>
      <c r="C7" s="30">
        <v>4111666.6666666665</v>
      </c>
      <c r="D7" s="30"/>
      <c r="E7" s="30"/>
      <c r="F7" s="30">
        <v>4227000</v>
      </c>
      <c r="G7" s="30">
        <v>2067000</v>
      </c>
      <c r="H7" s="30">
        <v>4145000</v>
      </c>
      <c r="I7" s="30">
        <v>3671470.588235294</v>
      </c>
    </row>
    <row r="8" spans="1:9">
      <c r="A8" s="29" t="s">
        <v>74</v>
      </c>
      <c r="B8" s="30">
        <v>148000</v>
      </c>
      <c r="C8" s="30">
        <v>169500</v>
      </c>
      <c r="D8" s="30">
        <v>184600</v>
      </c>
      <c r="E8" s="30"/>
      <c r="F8" s="30">
        <v>141812.5</v>
      </c>
      <c r="G8" s="30">
        <v>173200</v>
      </c>
      <c r="H8" s="30">
        <v>118500</v>
      </c>
      <c r="I8" s="30">
        <v>151750</v>
      </c>
    </row>
    <row r="9" spans="1:9">
      <c r="A9" s="29" t="s">
        <v>92</v>
      </c>
      <c r="B9" s="30"/>
      <c r="C9" s="30">
        <v>688500</v>
      </c>
      <c r="D9" s="30"/>
      <c r="E9" s="30">
        <v>483666.66666666669</v>
      </c>
      <c r="F9" s="30">
        <v>532333.33333333337</v>
      </c>
      <c r="G9" s="30">
        <v>604300</v>
      </c>
      <c r="H9" s="30">
        <v>652000</v>
      </c>
      <c r="I9" s="30">
        <v>585263.15789473685</v>
      </c>
    </row>
    <row r="10" spans="1:9">
      <c r="A10" s="29" t="s">
        <v>78</v>
      </c>
      <c r="B10" s="30">
        <v>3515500</v>
      </c>
      <c r="C10" s="30">
        <v>2852500</v>
      </c>
      <c r="D10" s="30">
        <v>4130333.3333333335</v>
      </c>
      <c r="E10" s="30">
        <v>4484750</v>
      </c>
      <c r="F10" s="30">
        <v>5163333.333333333</v>
      </c>
      <c r="G10" s="30">
        <v>4945000</v>
      </c>
      <c r="H10" s="30">
        <v>3757500</v>
      </c>
      <c r="I10" s="30">
        <v>4119928.5714285714</v>
      </c>
    </row>
    <row r="11" spans="1:9">
      <c r="A11" s="29" t="s">
        <v>388</v>
      </c>
      <c r="B11" s="30">
        <v>3662062.5</v>
      </c>
      <c r="C11" s="30">
        <v>2499750</v>
      </c>
      <c r="D11" s="30">
        <v>5678888.888888889</v>
      </c>
      <c r="E11" s="30">
        <v>3178500</v>
      </c>
      <c r="F11" s="30">
        <v>1158750</v>
      </c>
      <c r="G11" s="30">
        <v>1253210.5263157894</v>
      </c>
      <c r="H11" s="30">
        <v>6321400</v>
      </c>
      <c r="I11" s="30">
        <v>3304222.222222222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CA5C-4005-3F47-A77E-CECA041D15F1}">
  <dimension ref="A2:H9"/>
  <sheetViews>
    <sheetView tabSelected="1" workbookViewId="0">
      <selection activeCell="J31" sqref="J31"/>
    </sheetView>
  </sheetViews>
  <sheetFormatPr defaultColWidth="11.42578125" defaultRowHeight="12.75"/>
  <cols>
    <col min="1" max="1" width="32.28515625" bestFit="1" customWidth="1"/>
    <col min="2" max="2" width="15.85546875" bestFit="1" customWidth="1"/>
    <col min="3" max="3" width="24.42578125" bestFit="1" customWidth="1"/>
    <col min="4" max="4" width="21.7109375" bestFit="1" customWidth="1"/>
    <col min="5" max="5" width="17.28515625" bestFit="1" customWidth="1"/>
    <col min="6" max="6" width="13.140625" bestFit="1" customWidth="1"/>
    <col min="7" max="7" width="18.42578125" bestFit="1" customWidth="1"/>
    <col min="8" max="8" width="13.140625" customWidth="1"/>
  </cols>
  <sheetData>
    <row r="2" spans="1:8">
      <c r="A2" s="28" t="s">
        <v>389</v>
      </c>
      <c r="B2" s="28" t="s">
        <v>460</v>
      </c>
    </row>
    <row r="3" spans="1:8">
      <c r="A3" s="28" t="s">
        <v>387</v>
      </c>
      <c r="B3" t="s">
        <v>69</v>
      </c>
      <c r="C3" t="s">
        <v>104</v>
      </c>
      <c r="D3" t="s">
        <v>88</v>
      </c>
      <c r="E3" t="s">
        <v>74</v>
      </c>
      <c r="F3" t="s">
        <v>92</v>
      </c>
      <c r="G3" t="s">
        <v>78</v>
      </c>
      <c r="H3" t="s">
        <v>388</v>
      </c>
    </row>
    <row r="4" spans="1:8">
      <c r="A4" s="29">
        <v>2021</v>
      </c>
      <c r="B4" s="30">
        <v>9377000</v>
      </c>
      <c r="C4" s="30"/>
      <c r="D4" s="30">
        <v>15552000</v>
      </c>
      <c r="E4" s="30"/>
      <c r="F4" s="30">
        <v>441000</v>
      </c>
      <c r="G4" s="30">
        <v>7962000</v>
      </c>
      <c r="H4" s="30">
        <v>33332000</v>
      </c>
    </row>
    <row r="5" spans="1:8">
      <c r="A5" s="29">
        <v>2022</v>
      </c>
      <c r="B5" s="30">
        <v>6005000</v>
      </c>
      <c r="C5" s="30">
        <v>23105000</v>
      </c>
      <c r="D5" s="30">
        <v>4049000</v>
      </c>
      <c r="E5" s="30">
        <v>1217000</v>
      </c>
      <c r="F5" s="30">
        <v>1530000</v>
      </c>
      <c r="G5" s="30">
        <v>7755000</v>
      </c>
      <c r="H5" s="30">
        <v>43661000</v>
      </c>
    </row>
    <row r="6" spans="1:8">
      <c r="A6" s="29">
        <v>2023</v>
      </c>
      <c r="B6" s="30">
        <v>14265000</v>
      </c>
      <c r="C6" s="30">
        <v>47616000</v>
      </c>
      <c r="D6" s="30">
        <v>3923000</v>
      </c>
      <c r="E6" s="30">
        <v>964000</v>
      </c>
      <c r="F6" s="30">
        <v>3029000</v>
      </c>
      <c r="G6" s="30">
        <v>21003000</v>
      </c>
      <c r="H6" s="30">
        <v>90800000</v>
      </c>
    </row>
    <row r="7" spans="1:8">
      <c r="A7" s="29">
        <v>2024</v>
      </c>
      <c r="B7" s="30">
        <v>19878000</v>
      </c>
      <c r="C7" s="30">
        <v>15481000</v>
      </c>
      <c r="D7" s="30">
        <v>24903000</v>
      </c>
      <c r="E7" s="30">
        <v>1065000</v>
      </c>
      <c r="F7" s="30">
        <v>3683000</v>
      </c>
      <c r="G7" s="30">
        <v>28991000</v>
      </c>
      <c r="H7" s="30">
        <v>94001000</v>
      </c>
    </row>
    <row r="8" spans="1:8">
      <c r="A8" s="29">
        <v>2025</v>
      </c>
      <c r="B8" s="30">
        <v>23073000</v>
      </c>
      <c r="C8" s="30">
        <v>92914000</v>
      </c>
      <c r="D8" s="30">
        <v>13988000</v>
      </c>
      <c r="E8" s="30">
        <v>2217000</v>
      </c>
      <c r="F8" s="30">
        <v>2437000</v>
      </c>
      <c r="G8" s="30">
        <v>49647000</v>
      </c>
      <c r="H8" s="30">
        <v>184276000</v>
      </c>
    </row>
    <row r="9" spans="1:8">
      <c r="A9" s="29" t="s">
        <v>388</v>
      </c>
      <c r="B9" s="30">
        <v>72598000</v>
      </c>
      <c r="C9" s="30">
        <v>179116000</v>
      </c>
      <c r="D9" s="30">
        <v>62415000</v>
      </c>
      <c r="E9" s="30">
        <v>5463000</v>
      </c>
      <c r="F9" s="30">
        <v>11120000</v>
      </c>
      <c r="G9" s="30">
        <v>115358000</v>
      </c>
      <c r="H9" s="30">
        <v>446070000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Y991"/>
  <sheetViews>
    <sheetView workbookViewId="0"/>
  </sheetViews>
  <sheetFormatPr defaultColWidth="12.7109375" defaultRowHeight="15" customHeight="1"/>
  <cols>
    <col min="1" max="1" width="48.140625" customWidth="1"/>
    <col min="2" max="2" width="21.28515625" customWidth="1"/>
    <col min="3" max="3" width="16.42578125" customWidth="1"/>
    <col min="4" max="4" width="17.28515625" customWidth="1"/>
    <col min="5" max="5" width="25.42578125" customWidth="1"/>
  </cols>
  <sheetData>
    <row r="1" spans="1:25" ht="15.75" customHeight="1">
      <c r="A1" s="8" t="s">
        <v>351</v>
      </c>
      <c r="B1" s="19"/>
      <c r="C1" s="19"/>
      <c r="D1" s="19"/>
      <c r="E1" s="19"/>
      <c r="F1" s="19"/>
      <c r="G1" s="19"/>
      <c r="H1" s="19"/>
      <c r="I1" s="19"/>
      <c r="J1" s="19"/>
      <c r="K1" s="19"/>
      <c r="L1" s="19"/>
      <c r="M1" s="19"/>
      <c r="N1" s="19"/>
      <c r="O1" s="19"/>
      <c r="P1" s="19"/>
      <c r="Q1" s="19"/>
      <c r="R1" s="19"/>
      <c r="S1" s="19"/>
      <c r="T1" s="19"/>
      <c r="U1" s="19"/>
      <c r="V1" s="19"/>
      <c r="W1" s="19"/>
      <c r="X1" s="19"/>
      <c r="Y1" s="19"/>
    </row>
    <row r="2" spans="1:25" ht="15.75" customHeight="1">
      <c r="A2" s="64" t="s">
        <v>352</v>
      </c>
      <c r="B2" s="64"/>
      <c r="C2" s="19"/>
      <c r="D2" s="19"/>
      <c r="E2" s="19"/>
      <c r="F2" s="19"/>
      <c r="G2" s="19"/>
      <c r="H2" s="19"/>
      <c r="I2" s="19"/>
      <c r="J2" s="19"/>
      <c r="K2" s="19"/>
      <c r="L2" s="19"/>
      <c r="M2" s="19"/>
      <c r="N2" s="19"/>
      <c r="O2" s="19"/>
      <c r="P2" s="19"/>
      <c r="Q2" s="19"/>
      <c r="R2" s="19"/>
      <c r="S2" s="19"/>
      <c r="T2" s="19"/>
      <c r="U2" s="19"/>
      <c r="V2" s="19"/>
      <c r="W2" s="19"/>
      <c r="X2" s="19"/>
      <c r="Y2" s="19"/>
    </row>
    <row r="3" spans="1:25" ht="15.75" customHeight="1">
      <c r="A3" s="19"/>
      <c r="B3" s="19"/>
      <c r="C3" s="19"/>
      <c r="D3" s="19"/>
      <c r="E3" s="19"/>
      <c r="F3" s="19"/>
      <c r="G3" s="19"/>
      <c r="H3" s="19"/>
      <c r="I3" s="19"/>
      <c r="J3" s="19"/>
      <c r="K3" s="19"/>
      <c r="L3" s="19"/>
      <c r="M3" s="19"/>
      <c r="N3" s="19"/>
      <c r="O3" s="19"/>
      <c r="P3" s="19"/>
      <c r="Q3" s="19"/>
      <c r="R3" s="19"/>
      <c r="S3" s="19"/>
      <c r="T3" s="19"/>
      <c r="U3" s="19"/>
      <c r="V3" s="19"/>
      <c r="W3" s="19"/>
      <c r="X3" s="19"/>
      <c r="Y3" s="19"/>
    </row>
    <row r="4" spans="1:25" ht="15.75" customHeight="1">
      <c r="A4" s="20" t="s">
        <v>353</v>
      </c>
      <c r="B4" s="19"/>
      <c r="C4" s="19"/>
      <c r="D4" s="19"/>
      <c r="E4" s="19"/>
      <c r="F4" s="19"/>
      <c r="G4" s="19"/>
      <c r="H4" s="19"/>
      <c r="I4" s="19"/>
      <c r="J4" s="19"/>
      <c r="K4" s="19"/>
      <c r="L4" s="19"/>
      <c r="M4" s="19"/>
      <c r="N4" s="19"/>
      <c r="O4" s="19"/>
      <c r="P4" s="19"/>
      <c r="Q4" s="19"/>
      <c r="R4" s="19"/>
      <c r="S4" s="19"/>
      <c r="T4" s="19"/>
      <c r="U4" s="19"/>
      <c r="V4" s="19"/>
      <c r="W4" s="19"/>
      <c r="X4" s="19"/>
      <c r="Y4" s="19"/>
    </row>
    <row r="5" spans="1:25" ht="15.75" customHeight="1">
      <c r="A5" s="21" t="s">
        <v>354</v>
      </c>
      <c r="B5" s="21" t="s">
        <v>355</v>
      </c>
      <c r="C5" s="21" t="s">
        <v>356</v>
      </c>
      <c r="D5" s="21" t="s">
        <v>357</v>
      </c>
      <c r="E5" s="21" t="s">
        <v>358</v>
      </c>
      <c r="F5" s="21" t="s">
        <v>359</v>
      </c>
      <c r="G5" s="19"/>
      <c r="H5" s="19"/>
      <c r="I5" s="19"/>
      <c r="J5" s="19"/>
      <c r="K5" s="19"/>
      <c r="L5" s="19"/>
      <c r="M5" s="19"/>
      <c r="N5" s="19"/>
      <c r="O5" s="19"/>
      <c r="P5" s="19"/>
      <c r="Q5" s="19"/>
      <c r="R5" s="19"/>
      <c r="S5" s="19"/>
      <c r="T5" s="19"/>
      <c r="U5" s="19"/>
      <c r="V5" s="19"/>
      <c r="W5" s="19"/>
      <c r="X5" s="19"/>
      <c r="Y5" s="19"/>
    </row>
    <row r="6" spans="1:25" ht="135">
      <c r="A6" s="22" t="s">
        <v>360</v>
      </c>
      <c r="B6" s="23" t="s">
        <v>361</v>
      </c>
      <c r="C6" s="23" t="s">
        <v>362</v>
      </c>
      <c r="D6" s="23" t="s">
        <v>363</v>
      </c>
      <c r="E6" s="23" t="s">
        <v>364</v>
      </c>
      <c r="F6" s="26" t="s">
        <v>386</v>
      </c>
      <c r="G6" s="19"/>
      <c r="H6" s="19"/>
      <c r="I6" s="19"/>
      <c r="J6" s="19"/>
      <c r="K6" s="19"/>
      <c r="L6" s="19"/>
      <c r="M6" s="19"/>
      <c r="N6" s="19"/>
      <c r="O6" s="19"/>
      <c r="P6" s="19"/>
      <c r="Q6" s="19"/>
      <c r="R6" s="19"/>
      <c r="S6" s="19"/>
      <c r="T6" s="19"/>
      <c r="U6" s="19"/>
      <c r="V6" s="19"/>
      <c r="W6" s="19"/>
      <c r="X6" s="19"/>
      <c r="Y6" s="19"/>
    </row>
    <row r="7" spans="1:25" ht="105">
      <c r="A7" s="22" t="s">
        <v>365</v>
      </c>
      <c r="B7" s="23" t="s">
        <v>366</v>
      </c>
      <c r="C7" s="23" t="s">
        <v>367</v>
      </c>
      <c r="D7" s="23" t="s">
        <v>368</v>
      </c>
      <c r="E7" s="23" t="s">
        <v>369</v>
      </c>
      <c r="F7" s="24" t="s">
        <v>370</v>
      </c>
      <c r="G7" s="19"/>
      <c r="H7" s="19"/>
      <c r="I7" s="19"/>
      <c r="J7" s="19"/>
      <c r="K7" s="19"/>
      <c r="L7" s="19"/>
      <c r="M7" s="19"/>
      <c r="N7" s="19"/>
      <c r="O7" s="19"/>
      <c r="P7" s="19"/>
      <c r="Q7" s="19"/>
      <c r="R7" s="19"/>
      <c r="S7" s="19"/>
      <c r="T7" s="19"/>
      <c r="U7" s="19"/>
      <c r="V7" s="19"/>
      <c r="W7" s="19"/>
      <c r="X7" s="19"/>
      <c r="Y7" s="19"/>
    </row>
    <row r="8" spans="1:25" ht="105">
      <c r="A8" s="22" t="s">
        <v>371</v>
      </c>
      <c r="B8" s="23" t="s">
        <v>372</v>
      </c>
      <c r="C8" s="23" t="s">
        <v>373</v>
      </c>
      <c r="D8" s="23" t="s">
        <v>374</v>
      </c>
      <c r="E8" s="23" t="s">
        <v>375</v>
      </c>
      <c r="F8" s="26" t="s">
        <v>385</v>
      </c>
      <c r="G8" s="19"/>
      <c r="H8" s="19"/>
      <c r="I8" s="19"/>
      <c r="J8" s="19"/>
      <c r="K8" s="19"/>
      <c r="L8" s="19"/>
      <c r="M8" s="19"/>
      <c r="N8" s="19"/>
      <c r="O8" s="19"/>
      <c r="P8" s="19"/>
      <c r="Q8" s="19"/>
      <c r="R8" s="19"/>
      <c r="S8" s="19"/>
      <c r="T8" s="19"/>
      <c r="U8" s="19"/>
      <c r="V8" s="19"/>
      <c r="W8" s="19"/>
      <c r="X8" s="19"/>
      <c r="Y8" s="19"/>
    </row>
    <row r="9" spans="1:25" ht="90">
      <c r="A9" s="22" t="s">
        <v>376</v>
      </c>
      <c r="B9" s="23" t="s">
        <v>377</v>
      </c>
      <c r="C9" s="23" t="s">
        <v>378</v>
      </c>
      <c r="D9" s="25" t="s">
        <v>379</v>
      </c>
      <c r="E9" s="23" t="s">
        <v>380</v>
      </c>
      <c r="F9" s="23" t="s">
        <v>381</v>
      </c>
      <c r="G9" s="19"/>
      <c r="H9" s="19"/>
      <c r="I9" s="19"/>
      <c r="J9" s="19"/>
      <c r="K9" s="19"/>
      <c r="L9" s="19"/>
      <c r="M9" s="19"/>
      <c r="N9" s="19"/>
      <c r="O9" s="19"/>
      <c r="P9" s="19"/>
      <c r="Q9" s="19"/>
      <c r="R9" s="19"/>
      <c r="S9" s="19"/>
      <c r="T9" s="19"/>
      <c r="U9" s="19"/>
      <c r="V9" s="19"/>
      <c r="W9" s="19"/>
      <c r="X9" s="19"/>
      <c r="Y9" s="19"/>
    </row>
    <row r="10" spans="1:25" ht="15.75" customHeight="1">
      <c r="A10" s="64" t="s">
        <v>382</v>
      </c>
      <c r="B10" s="64"/>
      <c r="C10" s="64"/>
      <c r="D10" s="64"/>
      <c r="E10" s="19"/>
      <c r="F10" s="19"/>
      <c r="G10" s="19"/>
      <c r="H10" s="19"/>
      <c r="I10" s="19"/>
      <c r="J10" s="19"/>
      <c r="K10" s="19"/>
      <c r="L10" s="19"/>
      <c r="M10" s="19"/>
      <c r="N10" s="19"/>
      <c r="O10" s="19"/>
      <c r="P10" s="19"/>
      <c r="Q10" s="19"/>
      <c r="R10" s="19"/>
      <c r="S10" s="19"/>
      <c r="T10" s="19"/>
      <c r="U10" s="19"/>
      <c r="V10" s="19"/>
      <c r="W10" s="19"/>
      <c r="X10" s="19"/>
      <c r="Y10" s="19"/>
    </row>
    <row r="11" spans="1:25"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row>
    <row r="12" spans="1:25" ht="15.75" customHeight="1">
      <c r="A12" s="20" t="s">
        <v>383</v>
      </c>
      <c r="B12" s="19"/>
      <c r="C12" s="19"/>
      <c r="D12" s="19"/>
      <c r="E12" s="19"/>
      <c r="F12" s="19"/>
      <c r="G12" s="19"/>
      <c r="H12" s="19"/>
      <c r="I12" s="19"/>
      <c r="J12" s="19"/>
      <c r="K12" s="19"/>
      <c r="L12" s="19"/>
      <c r="M12" s="19"/>
      <c r="N12" s="19"/>
      <c r="O12" s="19"/>
      <c r="P12" s="19"/>
      <c r="Q12" s="19"/>
      <c r="R12" s="19"/>
      <c r="S12" s="19"/>
      <c r="T12" s="19"/>
      <c r="U12" s="19"/>
      <c r="V12" s="19"/>
      <c r="W12" s="19"/>
      <c r="X12" s="19"/>
      <c r="Y12" s="19"/>
    </row>
    <row r="13" spans="1:25"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row>
    <row r="14" spans="1:25" ht="188.1" customHeight="1">
      <c r="A14" s="65" t="s">
        <v>384</v>
      </c>
      <c r="B14" s="65"/>
      <c r="C14" s="65"/>
      <c r="D14" s="65"/>
      <c r="E14" s="19"/>
      <c r="F14" s="19"/>
      <c r="G14" s="19"/>
      <c r="H14" s="19"/>
      <c r="I14" s="19"/>
      <c r="J14" s="19"/>
      <c r="K14" s="19"/>
      <c r="L14" s="19"/>
      <c r="M14" s="19"/>
      <c r="N14" s="19"/>
      <c r="O14" s="19"/>
      <c r="P14" s="19"/>
      <c r="Q14" s="19"/>
      <c r="R14" s="19"/>
      <c r="S14" s="19"/>
      <c r="T14" s="19"/>
      <c r="U14" s="19"/>
      <c r="V14" s="19"/>
      <c r="W14" s="19"/>
      <c r="X14" s="19"/>
      <c r="Y14" s="19"/>
    </row>
    <row r="15" spans="1:2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row>
    <row r="16" spans="1:25"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row>
    <row r="17" spans="1:25"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row>
    <row r="18" spans="1:25"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row>
    <row r="19" spans="1:25"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row>
    <row r="20" spans="1:25"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row>
    <row r="21" spans="1:25"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row>
    <row r="22" spans="1:25"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row>
    <row r="23" spans="1:25"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row>
    <row r="24" spans="1:25"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spans="1: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spans="1:25"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spans="1:25"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spans="1:25"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spans="1:25"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25"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5"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spans="1:25"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spans="1:25"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spans="1:25"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spans="1:25"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spans="1:25"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spans="1:25"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spans="1:2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spans="1:25"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spans="1:25"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spans="1:25"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spans="1:25"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spans="1:25"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spans="1:25"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spans="1:25"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spans="1:25"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spans="1:25"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spans="1:2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spans="1:25"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spans="1:25"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spans="1:25"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spans="1:25"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spans="1:25"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spans="1:25"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spans="1:25"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spans="1:25"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spans="1:25"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spans="1:2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spans="1:25"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spans="1:25"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spans="1:25"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spans="1:25"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spans="1:25"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spans="1:25"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spans="1:25"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spans="1:25"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spans="1:25"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spans="1:2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spans="1:25"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spans="1:25"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spans="1:25"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spans="1:25"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spans="1:25"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spans="1:25"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spans="1:25"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spans="1:25"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spans="1:25"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spans="1:2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spans="1:25"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spans="1:25"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spans="1:25"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spans="1:25"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spans="1:25"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spans="1:25"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spans="1:25"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spans="1:25"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spans="1:25"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spans="1:2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spans="1:25"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spans="1:25"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spans="1:25"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spans="1:25"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spans="1:25"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spans="1:25"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spans="1:25"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spans="1:25"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spans="1:25"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spans="1:2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spans="1:25"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spans="1:25"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spans="1:25"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spans="1:25"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spans="1:25"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spans="1:25"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spans="1:25"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spans="1:25"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spans="1:25"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spans="1:2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spans="1:25"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spans="1:25"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spans="1:25"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spans="1:25"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spans="1:25"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spans="1:25"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spans="1:25"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spans="1:25"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spans="1:25"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spans="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spans="1:25"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spans="1:25"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spans="1:25"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spans="1:25"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spans="1:25"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spans="1:25"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spans="1:25"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spans="1:25"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spans="1:25"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spans="1:2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spans="1:25"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spans="1:25"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spans="1:25"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spans="1:25"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spans="1:25"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spans="1:25"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spans="1:25"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spans="1:25"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spans="1:25"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spans="1:2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spans="1:25"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spans="1:25"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spans="1:25"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spans="1:25"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spans="1:25"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spans="1:25"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spans="1:25"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spans="1:25"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spans="1:25"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spans="1:2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spans="1:25"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spans="1:25"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spans="1:25"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spans="1:25"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spans="1:25"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spans="1:25"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spans="1:25"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spans="1:25"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spans="1:25"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spans="1:2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spans="1:25"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spans="1:25"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spans="1:25"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spans="1:25"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spans="1:25"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spans="1:25"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spans="1:25"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spans="1:25"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spans="1:25"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spans="1:2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spans="1:25"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spans="1:25"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spans="1:25"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spans="1:25"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spans="1:25"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spans="1:25"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spans="1:25"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spans="1:25"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spans="1:25"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spans="1:2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spans="1:25"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spans="1:25"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spans="1:25"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spans="1:25"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spans="1:25"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spans="1:25"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spans="1:25"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spans="1:25"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spans="1:25"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spans="1:2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spans="1:25"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spans="1:25"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spans="1:25"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spans="1:25"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spans="1:25"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spans="1:25"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spans="1:25"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spans="1:25"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spans="1:25"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spans="1:2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spans="1:25"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spans="1:25"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spans="1:25"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spans="1:25"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spans="1:25"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spans="1:25"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spans="1:25"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spans="1:25"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spans="1:25"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spans="1:2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spans="1:25"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spans="1:25"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spans="1:25"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spans="1:25"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spans="1:25"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spans="1:25"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spans="1:25"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spans="1:25"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spans="1:25"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spans="1: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spans="1:25"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spans="1:25"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spans="1:25"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spans="1:25"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spans="1:25"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spans="1:25"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spans="1:25"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spans="1:25"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spans="1:25"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spans="1:2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spans="1:25"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spans="1:25"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spans="1:25"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spans="1:25"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spans="1:25"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spans="1:25"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spans="1:25"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spans="1:25"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spans="1:25"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spans="1:2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spans="1:25"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spans="1:25"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spans="1:25"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spans="1:25"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spans="1:25"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spans="1:25"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spans="1:25"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spans="1:25"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spans="1:25"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spans="1:2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spans="1:25"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spans="1:25"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spans="1:25"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spans="1:25"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spans="1:25"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spans="1:25"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spans="1:25"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spans="1:25"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spans="1:25"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spans="1:2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spans="1:25"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spans="1:25"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spans="1:25"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spans="1:25"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spans="1:25"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spans="1:25"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spans="1:25"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spans="1:25"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spans="1:25"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spans="1:2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spans="1:25"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spans="1:25"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spans="1:25"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spans="1:25"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spans="1:25"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spans="1:25"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spans="1:25"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spans="1:25"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spans="1:25"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spans="1:2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spans="1:25"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spans="1:25"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spans="1:25"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spans="1:25"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spans="1:25"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spans="1:25"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spans="1:25"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spans="1:25"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spans="1:25"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spans="1:2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spans="1:25"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spans="1:25"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spans="1:25"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spans="1:25"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spans="1:25"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spans="1:25"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spans="1:25"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spans="1:25"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spans="1:25"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spans="1:2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spans="1:25"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spans="1:25"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spans="1:25"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spans="1:25"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spans="1:25"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spans="1:25"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spans="1:25"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spans="1:25"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spans="1:25"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spans="1:2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spans="1:25"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spans="1:25"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spans="1:25"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spans="1:25"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spans="1:25"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spans="1:25"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spans="1:25"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spans="1:25"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spans="1:25"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spans="1: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spans="1:25"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spans="1:25"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spans="1:25"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spans="1:25"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spans="1:25"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spans="1:25"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spans="1:25"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spans="1:25"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spans="1:25"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spans="1:2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spans="1:25"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spans="1:25"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spans="1:25"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spans="1:25"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spans="1:25"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spans="1:25"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spans="1:25"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spans="1:25"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spans="1:25"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spans="1:2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spans="1:25"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spans="1:25"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spans="1:25"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spans="1:25"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spans="1:25"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spans="1:25"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spans="1:25"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spans="1:25"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spans="1:25"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spans="1:2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spans="1:25"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spans="1:25"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spans="1:25"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spans="1:25"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spans="1:25"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spans="1:25"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spans="1:25"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spans="1:25"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spans="1:25"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spans="1:2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spans="1:25"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spans="1:25"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spans="1:25"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spans="1:25"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spans="1:25"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spans="1:25"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spans="1:25"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spans="1:25"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spans="1:25"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spans="1:2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spans="1:25"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spans="1:25"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spans="1:25"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spans="1:25"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spans="1:25"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spans="1:25"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spans="1:25"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spans="1:25"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spans="1:25"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spans="1:2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spans="1:25"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spans="1:25"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spans="1:25"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spans="1:25"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spans="1:25"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spans="1:25"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spans="1:25"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spans="1:25"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spans="1:25"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spans="1:2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spans="1:25"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spans="1:25"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spans="1:25"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spans="1:25"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spans="1:25"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spans="1:25"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spans="1:25"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spans="1:25"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spans="1:25"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spans="1:2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spans="1:25"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spans="1:25"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spans="1:25"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spans="1:25"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spans="1:25"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spans="1:25"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spans="1:25"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spans="1:25"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spans="1:25"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spans="1:2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spans="1:25"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spans="1:25"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spans="1:25"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spans="1:25"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spans="1:25"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spans="1:25"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spans="1:25"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spans="1:25"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spans="1:25"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spans="1: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spans="1:25"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spans="1:25"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spans="1:25"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spans="1:25"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spans="1:25"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spans="1:25"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spans="1:25"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spans="1:25"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spans="1:25"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spans="1:2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spans="1:25"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spans="1:25"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spans="1:25"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spans="1:25"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spans="1:25"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spans="1:25"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spans="1:25"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spans="1:25"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spans="1:25"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spans="1:2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spans="1:25"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spans="1:25"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spans="1:25"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spans="1:25"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spans="1:25"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spans="1:25"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spans="1:25"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spans="1:25"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spans="1:25"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spans="1:2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spans="1:25"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spans="1:25"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spans="1:25"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spans="1:25"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spans="1:25"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spans="1:25"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spans="1:25"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spans="1:25"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spans="1:25"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spans="1:2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spans="1:25"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spans="1:25"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spans="1:25"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spans="1:25"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spans="1:25"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spans="1:25"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spans="1:25"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spans="1:25"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spans="1:25"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spans="1:2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spans="1:25"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spans="1:25"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spans="1:25"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spans="1:25"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spans="1:25"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spans="1:25"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spans="1:25"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spans="1:25"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spans="1:25"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spans="1:2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spans="1:25"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spans="1:25"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spans="1:25"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spans="1:25"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spans="1:25"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spans="1:25"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spans="1:25"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spans="1:25"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spans="1:25"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spans="1:2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spans="1:25"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spans="1:25"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spans="1:25"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spans="1:25"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spans="1:25"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spans="1:25"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spans="1:25"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spans="1:25"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spans="1:25"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spans="1:2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spans="1:25"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spans="1:25"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spans="1:25"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spans="1:25"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spans="1:25"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spans="1:25"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spans="1:25"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spans="1:25"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spans="1:25"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spans="1:2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spans="1:25"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spans="1:25"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spans="1:25"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spans="1:25"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spans="1:25"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spans="1:25"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spans="1:25"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spans="1:25"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spans="1:25"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spans="1: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spans="1:25"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spans="1:25"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spans="1:25"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spans="1:25"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spans="1:25"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spans="1:25"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spans="1:25"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spans="1:25"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spans="1:25"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spans="1:2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spans="1:25"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spans="1:25"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spans="1:25"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spans="1:25"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spans="1:25"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spans="1:25"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spans="1:25"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spans="1:25"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spans="1:25"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spans="1:2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spans="1:25"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spans="1:25"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spans="1:25"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spans="1:25"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spans="1:25"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spans="1:25"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spans="1:25"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spans="1:25"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spans="1:25"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spans="1:2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spans="1:25"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spans="1:25"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spans="1:25"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spans="1:25"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spans="1:25"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spans="1:25"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spans="1:25"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spans="1:25"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spans="1:25"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spans="1:2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spans="1:25"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spans="1:25"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spans="1:25"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spans="1:25"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spans="1:25"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spans="1:25"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spans="1:25"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spans="1:25"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spans="1:25"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spans="1:2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spans="1:25"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spans="1:25"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spans="1:25"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spans="1:25"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spans="1:25"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spans="1:25"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spans="1:25"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spans="1:25"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spans="1:25"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spans="1:2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spans="1:25"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spans="1:25"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spans="1:25"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spans="1:25"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spans="1:25"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spans="1:25"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spans="1:25"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spans="1:25"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spans="1:25"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spans="1:2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spans="1:25"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spans="1:25"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spans="1:25"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spans="1:25"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spans="1:25"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spans="1:25"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spans="1:25"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spans="1:25"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spans="1:25"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spans="1:2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spans="1:25"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spans="1:25"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spans="1:25"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spans="1:25"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spans="1:25"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spans="1:25"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spans="1:25"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spans="1:25"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spans="1:25"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spans="1:2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spans="1:25"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spans="1:25"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spans="1:25"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spans="1:25"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spans="1:25"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spans="1:25"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spans="1:25"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spans="1:25"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spans="1:25"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spans="1: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spans="1:25"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spans="1:25"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spans="1:25"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spans="1:25"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spans="1:25"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spans="1:25"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spans="1:25"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spans="1:25"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spans="1:25"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spans="1:2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spans="1:25"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spans="1:25"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spans="1:25"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spans="1:25"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spans="1:25"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spans="1:25"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spans="1:25"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spans="1:25"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spans="1:25"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spans="1:2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spans="1:25"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spans="1:25"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spans="1:25"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spans="1:25"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spans="1:25"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spans="1:25"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spans="1:25"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spans="1:25"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spans="1:25"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spans="1:2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spans="1:25"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spans="1:25"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spans="1:25"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spans="1:25"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spans="1:25"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spans="1:25"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spans="1:25"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spans="1:25"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spans="1:25"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spans="1:2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spans="1:25"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spans="1:25"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spans="1:25"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spans="1:25"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spans="1:25"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spans="1:25"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spans="1:25"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spans="1:25"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spans="1:25"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spans="1:2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spans="1:25"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spans="1:25"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spans="1:25"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spans="1:25"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spans="1:25"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spans="1:25"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spans="1:25"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spans="1:25"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spans="1:25"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spans="1:2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spans="1:25"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spans="1:25"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spans="1:25"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spans="1:25"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spans="1:25"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spans="1:25"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spans="1:25"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spans="1:25"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spans="1:25"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spans="1:2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spans="1:25"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spans="1:25"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spans="1:25"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spans="1:25"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spans="1:25"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spans="1:25"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spans="1:25"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spans="1:25"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spans="1:25"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spans="1:2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spans="1:25"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spans="1:25"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spans="1:25"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spans="1:25"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spans="1:25"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spans="1:25"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spans="1:25"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spans="1:25"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spans="1:25"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spans="1:2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spans="1:25"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spans="1:25"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spans="1:25"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spans="1:25"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spans="1:25"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spans="1:25"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spans="1:25"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spans="1:25"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spans="1:25"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spans="1: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spans="1:25"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spans="1:25"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spans="1:25"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spans="1:25"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spans="1:25"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spans="1:25"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spans="1:25"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spans="1:25"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spans="1:25"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spans="1:2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spans="1:25"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spans="1:25"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spans="1:25"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spans="1:25"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spans="1:25"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spans="1:25"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spans="1:25"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spans="1:25"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spans="1:25"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spans="1:2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spans="1:25"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spans="1:25"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spans="1:25"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spans="1:25"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spans="1:25"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spans="1:25"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spans="1:25"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spans="1:25"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spans="1:25"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spans="1:2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spans="1:25"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spans="1:25"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spans="1:25"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spans="1:25"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spans="1:25"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spans="1:25"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spans="1:25"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spans="1:25"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spans="1:25"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spans="1:2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spans="1:25"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spans="1:25"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spans="1:25"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spans="1:25"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spans="1:25"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spans="1:25"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spans="1:25"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spans="1:25"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spans="1:25"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spans="1:2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spans="1:25"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spans="1:25"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spans="1:25"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spans="1:25"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spans="1:25"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spans="1:25"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spans="1:25"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spans="1:25"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spans="1:25"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spans="1:2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spans="1:25"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spans="1:25"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spans="1:25"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spans="1:25"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spans="1:25"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spans="1:25"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spans="1:25"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spans="1:25"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spans="1:25"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spans="1:2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spans="1:25"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spans="1:25"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spans="1:25"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spans="1:25"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spans="1:25"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spans="1:25"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spans="1:25"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spans="1:25"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spans="1:25"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spans="1:2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spans="1:25"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spans="1:25"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spans="1:25"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spans="1:25"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spans="1:25"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spans="1:25"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spans="1:25"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spans="1:25"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spans="1:25"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spans="1:2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spans="1:25"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spans="1:25"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spans="1:25"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spans="1:25"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spans="1:25"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spans="1:25"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spans="1:25"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spans="1:25"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spans="1:25"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spans="1: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spans="1:25"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spans="1:25"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spans="1:25"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spans="1:25"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spans="1:25"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spans="1:25"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spans="1:25"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spans="1:25"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spans="1:25"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spans="1:2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spans="1:25"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spans="1:25"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spans="1:25"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spans="1:25"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spans="1:25"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spans="1:25"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spans="1:25"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spans="1:25"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spans="1:25"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spans="1:2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spans="1:25"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spans="1:25"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spans="1:25"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spans="1:25"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spans="1:25"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spans="1:25"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spans="1:25"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spans="1:25"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spans="1:25"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spans="1:2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spans="1:25"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spans="1:25"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spans="1:25"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spans="1:25"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spans="1:25"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spans="1:25"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spans="1:25"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spans="1:25"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spans="1:25"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spans="1:2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spans="1:25"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spans="1:25"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spans="1:25"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spans="1:25"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spans="1:25"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spans="1:25"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spans="1:25"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spans="1:25"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spans="1:25"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spans="1:2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spans="1:25"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spans="1:25"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spans="1:25"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spans="1:25"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spans="1:25"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spans="1:25"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spans="1:25"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spans="1:25"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spans="1:25"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spans="1:2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spans="1:25"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spans="1:25"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spans="1:25"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spans="1:25"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spans="1:25"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spans="1:25"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spans="1:25"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spans="1:25"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spans="1:25"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spans="1:2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spans="1:25"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spans="1:25"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spans="1:25"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spans="1:25"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spans="1:25"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spans="1:25"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spans="1:25"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spans="1:25"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spans="1:25"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spans="1:2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spans="1:25"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spans="1:25"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spans="1:25"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spans="1:25"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spans="1:25"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spans="1:25"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spans="1:25"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spans="1:25"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spans="1:25"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spans="1:2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spans="1:25"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spans="1:25"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spans="1:25"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spans="1:25"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spans="1:25"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spans="1:25"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spans="1:25"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spans="1:25"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spans="1:25"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spans="1: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spans="1:25"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spans="1:25"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spans="1:25"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spans="1:25"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spans="1:25"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spans="1:25"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spans="1:25"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spans="1:25"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spans="1:25"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spans="1:2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spans="1:25"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spans="1:25"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spans="1:25"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spans="1:25"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spans="1:25"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spans="1:25"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spans="1:25"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spans="1:25"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spans="1:25"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spans="1:2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spans="1:25"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spans="1:25"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spans="1:25"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spans="1:25"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spans="1:25"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spans="1:25"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spans="1:25"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spans="1:25"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spans="1:25"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spans="1:2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spans="1:25"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spans="1:25"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spans="1:25"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spans="1:25"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spans="1:25"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spans="1:25"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spans="1:25"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spans="1:25"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spans="1:25"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spans="1:2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spans="1:25"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spans="1:25"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spans="1:25"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spans="1:25"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spans="1:25"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spans="1:25"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spans="1:25"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spans="1:25"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spans="1:25"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spans="1:2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spans="1:25"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spans="1:25"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spans="1:25"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spans="1:25"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spans="1:25"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spans="1:25"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spans="1:25"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spans="1:25"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spans="1:25"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spans="1:2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spans="1:25"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spans="1:25"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spans="1:25"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spans="1:25"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spans="1:25"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spans="1:25"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sheetData>
  <mergeCells count="3">
    <mergeCell ref="A2:B2"/>
    <mergeCell ref="A10:D10"/>
    <mergeCell ref="A14:D14"/>
  </mergeCells>
  <hyperlinks>
    <hyperlink ref="F7" r:id="rId1" xr:uid="{00000000-0004-0000-0300-000000000000}"/>
    <hyperlink ref="F8" r:id="rId2" xr:uid="{ACB07FED-1975-A140-A190-F6038C89976F}"/>
    <hyperlink ref="F6" r:id="rId3" xr:uid="{47EB33B6-60E1-B14C-AB28-3CC0D36A8AD9}"/>
  </hyperlinks>
  <pageMargins left="0.75" right="0.75" top="1" bottom="1" header="0.511811023622047" footer="0.511811023622047"/>
  <pageSetup orientation="landscape" horizontalDpi="300" verticalDpi="300"/>
</worksheet>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Exhibit A</vt:lpstr>
      <vt:lpstr>Projections</vt:lpstr>
      <vt:lpstr>Projection Charts</vt:lpstr>
      <vt:lpstr>Exhibit B</vt:lpstr>
      <vt:lpstr>Loss by Sector FailureType</vt:lpstr>
      <vt:lpstr>By Date</vt:lpstr>
      <vt:lpstr>Exhibit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shumail farooqi</cp:lastModifiedBy>
  <cp:revision>0</cp:revision>
  <dcterms:created xsi:type="dcterms:W3CDTF">2026-07-18T20:11:49Z</dcterms:created>
  <dcterms:modified xsi:type="dcterms:W3CDTF">2026-08-04T06:31:45Z</dcterms:modified>
  <dc:language>en-US</dc:language>
</cp:coreProperties>
</file>