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chenhantian/Desktop/Quantify case comp/2026/Final/"/>
    </mc:Choice>
  </mc:AlternateContent>
  <xr:revisionPtr revIDLastSave="0" documentId="13_ncr:1_{CEDD149C-EAE7-B948-93CE-385D75A1D1C7}" xr6:coauthVersionLast="47" xr6:coauthVersionMax="47" xr10:uidLastSave="{00000000-0000-0000-0000-000000000000}"/>
  <bookViews>
    <workbookView xWindow="0" yWindow="660" windowWidth="29400" windowHeight="18460" tabRatio="500" activeTab="2" xr2:uid="{00000000-000D-0000-FFFF-FFFF00000000}"/>
  </bookViews>
  <sheets>
    <sheet name="Read Me" sheetId="1" r:id="rId1"/>
    <sheet name="Exhibit A" sheetId="2" r:id="rId2"/>
    <sheet name="Exhibit B" sheetId="3" r:id="rId3"/>
    <sheet name="Exhibit C" sheetId="4" r:id="rId4"/>
  </sheets>
  <definedNames>
    <definedName name="_xlnm._FilterDatabase" localSheetId="2" hidden="1">'Exhibit B'!$A$2:$G$137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50" i="2" l="1"/>
  <c r="E50" i="2"/>
  <c r="D50" i="2"/>
  <c r="C50" i="2"/>
  <c r="B50" i="2"/>
  <c r="F46" i="2"/>
  <c r="E46" i="2"/>
  <c r="D46" i="2"/>
  <c r="C46" i="2"/>
  <c r="B46" i="2"/>
  <c r="F40" i="2"/>
  <c r="E40" i="2"/>
  <c r="D40" i="2"/>
  <c r="C40" i="2"/>
  <c r="B40" i="2"/>
  <c r="F36" i="2"/>
  <c r="E36" i="2"/>
  <c r="D36" i="2"/>
  <c r="C36" i="2"/>
  <c r="B36" i="2"/>
  <c r="F30" i="2"/>
  <c r="E30" i="2"/>
  <c r="D30" i="2"/>
  <c r="C30" i="2"/>
  <c r="B30" i="2"/>
  <c r="F26" i="2"/>
  <c r="E26" i="2"/>
  <c r="D26" i="2"/>
  <c r="C26" i="2"/>
  <c r="B26" i="2"/>
  <c r="F20" i="2"/>
  <c r="E20" i="2"/>
  <c r="D20" i="2"/>
  <c r="C20" i="2"/>
  <c r="B20" i="2"/>
  <c r="F16" i="2"/>
  <c r="E16" i="2"/>
  <c r="D16" i="2"/>
  <c r="C16" i="2"/>
  <c r="B16" i="2"/>
  <c r="F10" i="2"/>
  <c r="E10" i="2"/>
  <c r="D10" i="2"/>
  <c r="C10" i="2"/>
  <c r="B10" i="2"/>
  <c r="F6" i="2"/>
  <c r="E6" i="2"/>
  <c r="D6" i="2"/>
  <c r="C6" i="2"/>
  <c r="B6" i="2"/>
</calcChain>
</file>

<file path=xl/sharedStrings.xml><?xml version="1.0" encoding="utf-8"?>
<sst xmlns="http://schemas.openxmlformats.org/spreadsheetml/2006/main" count="881" uniqueCount="454">
  <si>
    <t>How to Use These Exhibits</t>
  </si>
  <si>
    <t>TileShield Insurance (TSI) — Quantify Case Competition 2026: Brand New Market: AI Liability Insurance</t>
  </si>
  <si>
    <t>1.  What is in this workbook</t>
  </si>
  <si>
    <t>Exhibit A — TSI Financial Data</t>
  </si>
  <si>
    <t>Five years (2021–2025) of TSI's own results, split into its five lines of business: Errors &amp; Omissions (E&amp;O), Cyber Liability, Technology Products Liability, Commercial General Liability (CGL), and Commercial Auto Liability. Used for Assignment Q1 (assess TSI).</t>
  </si>
  <si>
    <t>Exhibit B — AI Incident Data</t>
  </si>
  <si>
    <t>135 external AI-failure incidents (2021–2025) with industry, failure type, human-oversight flag, and estimated insured loss (CAD). This is market/industry data, not TSI's own claims. Used for Assignment Q2 (is AI liability insurable?).</t>
  </si>
  <si>
    <t>Exhibit C — Market Landscape</t>
  </si>
  <si>
    <t>Competitor positioning, Canadian adoption data, and a policy-limit benchmark. Context for Assignment Q3 (the strategic recommendation).</t>
  </si>
  <si>
    <t xml:space="preserve">2.  Core insurance concepts </t>
  </si>
  <si>
    <t>Concept</t>
  </si>
  <si>
    <t>What it means</t>
  </si>
  <si>
    <t>Exposure</t>
  </si>
  <si>
    <t>The volume of insured business TSI covers, such as the number of commercial policies, insured companies, vehicles, or technology clients. It is the base used to measure how much risk TSI has taken on.</t>
  </si>
  <si>
    <t>Earned Premium</t>
  </si>
  <si>
    <t>The premium revenue TSI recognizes for coverage it has already provided during the year. This is the amount used to evaluate whether TSI collected enough premium to pay for claims and expenses.</t>
  </si>
  <si>
    <t>Claim Count</t>
  </si>
  <si>
    <t>The number of claims TSI records during the year. For AI-related or specialty commercial risks, claim count helps show whether incidents are becoming more frequent.</t>
  </si>
  <si>
    <t>Incurred Losses</t>
  </si>
  <si>
    <t>The estimated total cost of TSI’s claims for the year, including paid claims and reserves for unpaid claims. This shows the actual loss cost of TSI’s insured risks.</t>
  </si>
  <si>
    <t>Operating Expenses</t>
  </si>
  <si>
    <t>The costs TSI incurs to operate and manage its insurance business, including underwriting, claims management, commissions, data systems, and administration. These costs affect overall profitability.</t>
  </si>
  <si>
    <t>3.  Core insurance formulas</t>
  </si>
  <si>
    <t>Metric</t>
  </si>
  <si>
    <t>Formula</t>
  </si>
  <si>
    <t xml:space="preserve">What it measures </t>
  </si>
  <si>
    <t>Claim Frequency</t>
  </si>
  <si>
    <t>Claim Count ÷ Exposure</t>
  </si>
  <si>
    <t>How often claims occur per unit of exposure. Rising frequency means more claims are being filed against the same book of business.</t>
  </si>
  <si>
    <t>Average Severity</t>
  </si>
  <si>
    <t>Incurred Losses ÷ Claim Count</t>
  </si>
  <si>
    <t>The average cost of a claim once it occurs. Rising severity means each claim is getting more expensive.</t>
  </si>
  <si>
    <t>Pure Premium (Loss Cost)</t>
  </si>
  <si>
    <t>Frequency × Severity  =  Incurred Losses ÷ Exposure</t>
  </si>
  <si>
    <t>Expected loss per exposure unit. Bridges frequency and severity, and is the loss building block of a risk-based price.</t>
  </si>
  <si>
    <t>Loss Ratio</t>
  </si>
  <si>
    <t>Incurred Losses ÷ Earned Premium</t>
  </si>
  <si>
    <t>Share of premium paid back out as claims. Lower is better; a rising loss ratio signals losses outpacing pricing.</t>
  </si>
  <si>
    <t>Expense Ratio</t>
  </si>
  <si>
    <t>Operating Expenses ÷ Earned Premium</t>
  </si>
  <si>
    <t>Share of premium spent running the line (underwriting, admin, distribution).</t>
  </si>
  <si>
    <t>Combined Ratio</t>
  </si>
  <si>
    <t>Loss Ratio + Expense Ratio</t>
  </si>
  <si>
    <t>The headline profitability test. Below 100% = underwriting profit; above 100% = underwriting loss before investment income.</t>
  </si>
  <si>
    <t>TSI Financial Data</t>
  </si>
  <si>
    <t>Unit $1,000</t>
  </si>
  <si>
    <t>Errors &amp; Omissions</t>
  </si>
  <si>
    <t>Year</t>
  </si>
  <si>
    <t>Claim_Frequency</t>
  </si>
  <si>
    <t>Earned_Premium</t>
  </si>
  <si>
    <t>Claim_Count</t>
  </si>
  <si>
    <t>Incurred_Losses</t>
  </si>
  <si>
    <t>Average_Severity</t>
  </si>
  <si>
    <t>Operating_Expenses</t>
  </si>
  <si>
    <t>Cyber Liability</t>
  </si>
  <si>
    <t>Technology Products Liability</t>
  </si>
  <si>
    <t>Commercial General Liability</t>
  </si>
  <si>
    <t>Commercial Auto Liability</t>
  </si>
  <si>
    <t>AI Incident Data</t>
  </si>
  <si>
    <t>ID</t>
  </si>
  <si>
    <t>Title/Description</t>
  </si>
  <si>
    <t>Incident Date</t>
  </si>
  <si>
    <t>Industry</t>
  </si>
  <si>
    <t>Failure Type</t>
  </si>
  <si>
    <t>Human Oversight</t>
  </si>
  <si>
    <t>Estimated Insured Loss (CAD)</t>
  </si>
  <si>
    <t>AI-0001</t>
  </si>
  <si>
    <t>Mortgage-approval AI denied applications in racialized neighborhoods at higher rate</t>
  </si>
  <si>
    <t>21/03/2024</t>
  </si>
  <si>
    <t>Financial Services</t>
  </si>
  <si>
    <t>Algorithmic Bias</t>
  </si>
  <si>
    <t>Yes</t>
  </si>
  <si>
    <t>AI-0002</t>
  </si>
  <si>
    <t>AI scribe invented patient symptoms in discharge summary</t>
  </si>
  <si>
    <t>17/05/2025</t>
  </si>
  <si>
    <t>Healthcare</t>
  </si>
  <si>
    <t>Hallucinated Output</t>
  </si>
  <si>
    <t>No</t>
  </si>
  <si>
    <t>AI-0003</t>
  </si>
  <si>
    <t>Pharmacy AI assistant transmitted prescription data to unauthorized third party</t>
  </si>
  <si>
    <t>Privacy and Security</t>
  </si>
  <si>
    <t>AI-0004</t>
  </si>
  <si>
    <t>Clinical chatbot logged sensitive intake notes to public training dataset</t>
  </si>
  <si>
    <t>AI-0005</t>
  </si>
  <si>
    <t>Product recommendation AI fabricated specifications for listed items</t>
  </si>
  <si>
    <t>15/08/2025</t>
  </si>
  <si>
    <t>E-commerce</t>
  </si>
  <si>
    <t>AI-0006</t>
  </si>
  <si>
    <t>Credit-scoring AI used postal code as proxy for race, regulator fined lender</t>
  </si>
  <si>
    <t>27/07/2023</t>
  </si>
  <si>
    <t>AI-0007</t>
  </si>
  <si>
    <t>AI-generated phishing breached client portal of regional bank</t>
  </si>
  <si>
    <t>14/10/2021</t>
  </si>
  <si>
    <t>Cyber Exploitation via AI</t>
  </si>
  <si>
    <t>AI-0008</t>
  </si>
  <si>
    <t>AI copywriter produced misleading comparative advertising, regulator fined firm</t>
  </si>
  <si>
    <t>Marketing/Advertising</t>
  </si>
  <si>
    <t>Misinformation</t>
  </si>
  <si>
    <t>AI-0009</t>
  </si>
  <si>
    <t>AI press release hallucinated executive quotes</t>
  </si>
  <si>
    <t>AI-0010</t>
  </si>
  <si>
    <t>AI image generator created racially stereotyped campaign visuals</t>
  </si>
  <si>
    <t>17/12/2025</t>
  </si>
  <si>
    <t>AI-0011</t>
  </si>
  <si>
    <t>Diagnostic AI vendor breach leaked imaging data of 75,000 patients</t>
  </si>
  <si>
    <t>AI-0012</t>
  </si>
  <si>
    <t>EHR-integrated AI exposed mental health notes through prompt injection attack</t>
  </si>
  <si>
    <t>AI-0013</t>
  </si>
  <si>
    <t>Self-healing AI escalated outage by restarting healthy nodes</t>
  </si>
  <si>
    <t>17/07/2025</t>
  </si>
  <si>
    <t>Technology/SaaS</t>
  </si>
  <si>
    <t>Autonomous System Failure</t>
  </si>
  <si>
    <t>AI-0014</t>
  </si>
  <si>
    <t>AI-generated platform notification spread false outage information</t>
  </si>
  <si>
    <t>13/02/2023</t>
  </si>
  <si>
    <t>AI-0015</t>
  </si>
  <si>
    <t>Paralegal AI assistant fabricated quotes from real Supreme Court rulings</t>
  </si>
  <si>
    <t>Legal Services</t>
  </si>
  <si>
    <t>AI-0016</t>
  </si>
  <si>
    <t>AI-generated malware bypassed endpoint detection at SaaS provider</t>
  </si>
  <si>
    <t>AI-0017</t>
  </si>
  <si>
    <t>Skills-matching AI excluded candidates with disability accommodations</t>
  </si>
  <si>
    <t>14/05/2025</t>
  </si>
  <si>
    <t>HR/Recruiting</t>
  </si>
  <si>
    <t>AI-0018</t>
  </si>
  <si>
    <t>Law firm's AI intake bot leaked client conflict-check data</t>
  </si>
  <si>
    <t>22/12/2025</t>
  </si>
  <si>
    <t>AI-0019</t>
  </si>
  <si>
    <t>Robotic surgery assistant deviated from planned trajectory, patient injury</t>
  </si>
  <si>
    <t>AI-0020</t>
  </si>
  <si>
    <t>AI code review tool approved security-vulnerable pull request</t>
  </si>
  <si>
    <t>28/04/2025</t>
  </si>
  <si>
    <t>AI-0021</t>
  </si>
  <si>
    <t>Deepfake voice attack targeted marketing/advertising company executive</t>
  </si>
  <si>
    <t>28/10/2024</t>
  </si>
  <si>
    <t>AI-0022</t>
  </si>
  <si>
    <t>Recommendation AI exposed purchase histories of 120 customers</t>
  </si>
  <si>
    <t>AI-0023</t>
  </si>
  <si>
    <t>Ad targeting AI exposed user behavioral data through model inversion attack</t>
  </si>
  <si>
    <t>21/04/2024</t>
  </si>
  <si>
    <t>AI-0024</t>
  </si>
  <si>
    <t>Content moderation AI disproportionately flagged minority-language posts</t>
  </si>
  <si>
    <t>AI-0025</t>
  </si>
  <si>
    <t>AI-generated job description listed nonexistent legal requirements</t>
  </si>
  <si>
    <t>AI-0026</t>
  </si>
  <si>
    <t>Trademark search AI invented prior art that did not exist</t>
  </si>
  <si>
    <t>28/07/2025</t>
  </si>
  <si>
    <t>AI-0027</t>
  </si>
  <si>
    <t>Voice-cloned celebrity ad ran without consent, lawsuit filed</t>
  </si>
  <si>
    <t>23/07/2023</t>
  </si>
  <si>
    <t>AI-0028</t>
  </si>
  <si>
    <t>AI-generated ad campaign used fabricated customer testimonials</t>
  </si>
  <si>
    <t>AI-0029</t>
  </si>
  <si>
    <t>Cloud-based AI legal tool exposed confidential M&amp;A documents</t>
  </si>
  <si>
    <t>AI-0030</t>
  </si>
  <si>
    <t>Immigration AI tool cited fake precedents in federal court filing</t>
  </si>
  <si>
    <t>22/09/2022</t>
  </si>
  <si>
    <t>AI-0031</t>
  </si>
  <si>
    <t>Robo-advisor AI logged client SIN numbers to third-party LLM provider</t>
  </si>
  <si>
    <t>13/06/2021</t>
  </si>
  <si>
    <t>AI-0032</t>
  </si>
  <si>
    <t>AI voice clone defeated bank's biometric authentication</t>
  </si>
  <si>
    <t>AI-0033</t>
  </si>
  <si>
    <t>AI image tool produced culturally insensitive holiday campaign imagery</t>
  </si>
  <si>
    <t>AI-0034</t>
  </si>
  <si>
    <t>Voice analysis AI in interviews discriminated against accented speakers</t>
  </si>
  <si>
    <t>16/12/2024</t>
  </si>
  <si>
    <t>AI-0035</t>
  </si>
  <si>
    <t>Autonomous deployment AI rolled out broken update to 2,400 production servers</t>
  </si>
  <si>
    <t>AI-0036</t>
  </si>
  <si>
    <t>ML pipeline misconfiguration exposed customer training data</t>
  </si>
  <si>
    <t>AI-0037</t>
  </si>
  <si>
    <t>Autonomous AI system executed unintended actions causing major incident</t>
  </si>
  <si>
    <t>AI-0038</t>
  </si>
  <si>
    <t>AI-driven account takeover bypassed retailer's fraud detection</t>
  </si>
  <si>
    <t>23/08/2024</t>
  </si>
  <si>
    <t>AI-0039</t>
  </si>
  <si>
    <t>Generative AI campaign fabricated award and certification claims</t>
  </si>
  <si>
    <t>AI-0040</t>
  </si>
  <si>
    <t>AI vendor breach leaked source code repositories of 2,400 enterprise clients</t>
  </si>
  <si>
    <t>20/01/2022</t>
  </si>
  <si>
    <t>AI-0041</t>
  </si>
  <si>
    <t>AI-generated fake reviews fueled fraud ring on marketplace platform</t>
  </si>
  <si>
    <t>26/05/2021</t>
  </si>
  <si>
    <t>AI-0042</t>
  </si>
  <si>
    <t>Talent-matching AI downranked applicants who disclosed medical leave history</t>
  </si>
  <si>
    <t>AI-0043</t>
  </si>
  <si>
    <t>Dynamic pricing AI charged higher prices to customers in low-income postal codes</t>
  </si>
  <si>
    <t>AI-0044</t>
  </si>
  <si>
    <t>AI legal research tool invented nonexistent statute in client memo</t>
  </si>
  <si>
    <t>15/02/2022</t>
  </si>
  <si>
    <t>AI-0045</t>
  </si>
  <si>
    <t>AI-crafted spear phishing breached law firm client trust account</t>
  </si>
  <si>
    <t>AI-0046</t>
  </si>
  <si>
    <t>Resume-screening AI filtered out candidates with non-English names</t>
  </si>
  <si>
    <t>18/09/2025</t>
  </si>
  <si>
    <t>AI-0047</t>
  </si>
  <si>
    <t>Deepfake political ad attributed false statements to public official</t>
  </si>
  <si>
    <t>28/05/2023</t>
  </si>
  <si>
    <t>AI-0048</t>
  </si>
  <si>
    <t>Autonomous content moderation AI banned 580 legitimate accounts in cascade</t>
  </si>
  <si>
    <t>AI-0049</t>
  </si>
  <si>
    <t>Clinical decision support AI fabricated drug interaction warning</t>
  </si>
  <si>
    <t>24/12/2023</t>
  </si>
  <si>
    <t>AI-0050</t>
  </si>
  <si>
    <t>Autonomous content moderation AI banned 340 legitimate accounts in cascade</t>
  </si>
  <si>
    <t>AI-0051</t>
  </si>
  <si>
    <t>Legal marketing AI published inaccurate compliance summary</t>
  </si>
  <si>
    <t>AI-0052</t>
  </si>
  <si>
    <t>Chatbot logged credit card numbers to vendor training dataset</t>
  </si>
  <si>
    <t>25/11/2025</t>
  </si>
  <si>
    <t>AI-0053</t>
  </si>
  <si>
    <t>Insurance pricing AI charged higher premiums to immigrant policyholders</t>
  </si>
  <si>
    <t>24/04/2025</t>
  </si>
  <si>
    <t>AI-0054</t>
  </si>
  <si>
    <t>Law firm filed brief citing 150,000 fictitious case citations from ChatGPT</t>
  </si>
  <si>
    <t>15/05/2024</t>
  </si>
  <si>
    <t>AI-0055</t>
  </si>
  <si>
    <t>Deepfake voice scam impersonated customer service to drain accounts</t>
  </si>
  <si>
    <t>19/08/2024</t>
  </si>
  <si>
    <t>AI-0056</t>
  </si>
  <si>
    <t>AI recruiting tool published job posting citing fabricated certification requirements</t>
  </si>
  <si>
    <t>14/06/2025</t>
  </si>
  <si>
    <t>AI-0057</t>
  </si>
  <si>
    <t>Marketing AI vendor leaked customer email lists in training data</t>
  </si>
  <si>
    <t>14/03/2023</t>
  </si>
  <si>
    <t>AI-0058</t>
  </si>
  <si>
    <t>Recruiting AI vendor breach exposed 28,000 applicant resumes</t>
  </si>
  <si>
    <t>AI-0059</t>
  </si>
  <si>
    <t>SaaS AI feature exposed 28,000 customer documents via shared model context</t>
  </si>
  <si>
    <t>AI-0060</t>
  </si>
  <si>
    <t>Autonomous deployment AI rolled out broken update to 340 production servers</t>
  </si>
  <si>
    <t>16/07/2023</t>
  </si>
  <si>
    <t>AI-0061</t>
  </si>
  <si>
    <t>Home-equity loan AI applied stricter terms in predominantly minority postal codes</t>
  </si>
  <si>
    <t>28/06/2021</t>
  </si>
  <si>
    <t>AI-0062</t>
  </si>
  <si>
    <t>AI bot network hijacked customer loyalty accounts at online marketplace</t>
  </si>
  <si>
    <t>AI-0063</t>
  </si>
  <si>
    <t>Customer service chatbot invented refund policy, retailer honored 580 claims</t>
  </si>
  <si>
    <t>27/02/2024</t>
  </si>
  <si>
    <t>AI-0064</t>
  </si>
  <si>
    <t>AI-driven ventilator weaning system caused respiratory distress event</t>
  </si>
  <si>
    <t>AI-0065</t>
  </si>
  <si>
    <t>AI meeting transcription leaked confidential strategy session</t>
  </si>
  <si>
    <t>13/09/2024</t>
  </si>
  <si>
    <t>AI-0066</t>
  </si>
  <si>
    <t>Adversarial AI evaded fraud-detection model at credit union</t>
  </si>
  <si>
    <t>AI-0067</t>
  </si>
  <si>
    <t>AI newsletter for law firm clients misstated new privacy regulation deadlines</t>
  </si>
  <si>
    <t>13/04/2023</t>
  </si>
  <si>
    <t>AI-0068</t>
  </si>
  <si>
    <t>Workforce planning AI recommended disproportionate layoffs of older staff</t>
  </si>
  <si>
    <t>26/03/2021</t>
  </si>
  <si>
    <t>AI-0069</t>
  </si>
  <si>
    <t>AI research assistant cited repealed legislation as current law in court filing</t>
  </si>
  <si>
    <t>AI-0070</t>
  </si>
  <si>
    <t>AI-personalized phishing emails compromised wealth-management client accounts</t>
  </si>
  <si>
    <t>AI-0071</t>
  </si>
  <si>
    <t>AI ad copy invented industry rankings for client product launch</t>
  </si>
  <si>
    <t>27/05/2025</t>
  </si>
  <si>
    <t>AI-0072</t>
  </si>
  <si>
    <t>Medication-review AI flagged fictitious contraindication, delaying patient treatment</t>
  </si>
  <si>
    <t>16/07/2022</t>
  </si>
  <si>
    <t>AI-0073</t>
  </si>
  <si>
    <t>Auto-loan scoring AI weighted neighborhood income as proxy for protected class</t>
  </si>
  <si>
    <t>20/11/2021</t>
  </si>
  <si>
    <t>AI-0074</t>
  </si>
  <si>
    <t>AI-generated voicemail scam diverted settlement funds from law firm escrow</t>
  </si>
  <si>
    <t>AI-0075</t>
  </si>
  <si>
    <t>Patient-portal AI chatbot revealed other patients' lab results in responses</t>
  </si>
  <si>
    <t>23/05/2024</t>
  </si>
  <si>
    <t>AI-0076</t>
  </si>
  <si>
    <t>Returns AI gave customers nonexistent discount codes</t>
  </si>
  <si>
    <t>AI-0077</t>
  </si>
  <si>
    <t>AI promotion-prediction tool disadvantaged Black employees</t>
  </si>
  <si>
    <t>AI-0078</t>
  </si>
  <si>
    <t>AI banking assistant quoted incorrect mortgage rates to 580 customers</t>
  </si>
  <si>
    <t>AI-0079</t>
  </si>
  <si>
    <t>Renters-insurance AI quoted higher rates to non-native English speakers</t>
  </si>
  <si>
    <t>18/09/2021</t>
  </si>
  <si>
    <t>AI-0080</t>
  </si>
  <si>
    <t>AI-drafted will referenced nonexistent provincial statute</t>
  </si>
  <si>
    <t>AI-0081</t>
  </si>
  <si>
    <t>AI background check tool leaked candidate medical disclosures</t>
  </si>
  <si>
    <t>22/11/2025</t>
  </si>
  <si>
    <t>AI-0082</t>
  </si>
  <si>
    <t>AI ad copy invented product features that did not exist</t>
  </si>
  <si>
    <t>AI-0083</t>
  </si>
  <si>
    <t>Estate-planning AI cited fictitious tax exemption in trust documents</t>
  </si>
  <si>
    <t>AI-0084</t>
  </si>
  <si>
    <t>Deepfake video ad depicted competitor CEO making false safety claims</t>
  </si>
  <si>
    <t>24/09/2021</t>
  </si>
  <si>
    <t>AI-0085</t>
  </si>
  <si>
    <t>AI underwriting tool penalized self-employed applicants disproportionately</t>
  </si>
  <si>
    <t>AI-0086</t>
  </si>
  <si>
    <t>Interview-screening AI scored candidates lower for speech patterns linked to disability</t>
  </si>
  <si>
    <t>18/07/2023</t>
  </si>
  <si>
    <t>AI-0087</t>
  </si>
  <si>
    <t>AI voice clone of local news anchor used in unauthorized radio spots</t>
  </si>
  <si>
    <t>AI-0088</t>
  </si>
  <si>
    <t>Insurance claims AI denied disproportionate share of Indigenous patient claims</t>
  </si>
  <si>
    <t>AI-0089</t>
  </si>
  <si>
    <t>AI vendor breach leaked source code repositories of 4,800 enterprise clients</t>
  </si>
  <si>
    <t>AI-0090</t>
  </si>
  <si>
    <t>AI-generated market commentary on bank website misstated economic indicators</t>
  </si>
  <si>
    <t>AI-0091</t>
  </si>
  <si>
    <t>AI campaign generator overstated product efficacy against competitor claims</t>
  </si>
  <si>
    <t>18/12/2024</t>
  </si>
  <si>
    <t>AI-0092</t>
  </si>
  <si>
    <t>AI coding assistant introduced deprecated encryption library into production build</t>
  </si>
  <si>
    <t>28/04/2023</t>
  </si>
  <si>
    <t>AI-0093</t>
  </si>
  <si>
    <t>Synthetic identity built with AI passed bank's automated onboarding checks</t>
  </si>
  <si>
    <t>21/10/2025</t>
  </si>
  <si>
    <t>AI-0094</t>
  </si>
  <si>
    <t>Prompt injection attack on customer-facing AI exposed enterprise credentials</t>
  </si>
  <si>
    <t>16/12/2025</t>
  </si>
  <si>
    <t>AI-0095</t>
  </si>
  <si>
    <t>Performance-ranking AI systematically underrated employees over 55</t>
  </si>
  <si>
    <t>AI-0096</t>
  </si>
  <si>
    <t>Checkout assistant AI stored payment details in unsecured analytics logs</t>
  </si>
  <si>
    <t>25/02/2025</t>
  </si>
  <si>
    <t>AI-0097</t>
  </si>
  <si>
    <t>Patent-search AI reported fictitious filings, derailing client application</t>
  </si>
  <si>
    <t>AI-0098</t>
  </si>
  <si>
    <t>AI tax-prep tool invented eligible deductions, CRA reassessment followed</t>
  </si>
  <si>
    <t>21/08/2023</t>
  </si>
  <si>
    <t>AI-0099</t>
  </si>
  <si>
    <t>AI fraud-detection vendor breach leaked transaction data of 150,000 customers</t>
  </si>
  <si>
    <t>AI-0100</t>
  </si>
  <si>
    <t>SaaS AI feature exposed 4,800 customer documents via shared model context</t>
  </si>
  <si>
    <t>AI-0101</t>
  </si>
  <si>
    <t>Product description AI generated false ingredient list for cosmetics</t>
  </si>
  <si>
    <t>21/02/2025</t>
  </si>
  <si>
    <t>AI-0102</t>
  </si>
  <si>
    <t>AI careers-page generator claimed nonexistent visa sponsorship program</t>
  </si>
  <si>
    <t>28/02/2024</t>
  </si>
  <si>
    <t>AI-0103</t>
  </si>
  <si>
    <t>IP-clearance AI fabricated registration records in trademark opinion</t>
  </si>
  <si>
    <t>AI-0104</t>
  </si>
  <si>
    <t>Discovery AI summarized documents with fabricated content</t>
  </si>
  <si>
    <t>AI-0105</t>
  </si>
  <si>
    <t>Law-firm blog AI misreported scope of new employment legislation</t>
  </si>
  <si>
    <t>AI-0106</t>
  </si>
  <si>
    <t>Telehealth triage AI transmitted session transcripts to third-party vendor</t>
  </si>
  <si>
    <t>21/11/2025</t>
  </si>
  <si>
    <t>AI-0107</t>
  </si>
  <si>
    <t>AI-generated news-style ad spread false product recall story</t>
  </si>
  <si>
    <t>25/09/2022</t>
  </si>
  <si>
    <t>AI-0108</t>
  </si>
  <si>
    <t>Autonomous infusion pump miscalculated dosage during AI override</t>
  </si>
  <si>
    <t>AI-0109</t>
  </si>
  <si>
    <t>Robo-advisor newsletter AI misquoted central bank rate guidance</t>
  </si>
  <si>
    <t>14/11/2023</t>
  </si>
  <si>
    <t>AI-0110</t>
  </si>
  <si>
    <t>CV-parsing AI rejected applicants with foreign university credentials</t>
  </si>
  <si>
    <t>22/04/2024</t>
  </si>
  <si>
    <t>AI-0111</t>
  </si>
  <si>
    <t>AI support chatbot invented nonexistent product feature, customer churn followed</t>
  </si>
  <si>
    <t>28/03/2025</t>
  </si>
  <si>
    <t>AI-0112</t>
  </si>
  <si>
    <t>Brand-clearance AI invented conflicting marks in availability search</t>
  </si>
  <si>
    <t>AI-0113</t>
  </si>
  <si>
    <t>Litigation-summary AI attributed fabricated statements to deposition witness</t>
  </si>
  <si>
    <t>AI-0114</t>
  </si>
  <si>
    <t>AI-driven feature gating excluded users in specific regions without notice</t>
  </si>
  <si>
    <t>AI-0115</t>
  </si>
  <si>
    <t>Trademark-watch AI generated false infringement alerts, client filed needless opposition</t>
  </si>
  <si>
    <t>AI-0116</t>
  </si>
  <si>
    <t>Prior-authorization AI denied rural Indigenous patients at elevated rates</t>
  </si>
  <si>
    <t>AI-0117</t>
  </si>
  <si>
    <t>Succession-planning AI excluded older employees from advancement pools</t>
  </si>
  <si>
    <t>AI-0118</t>
  </si>
  <si>
    <t>Dermatology AI showed lower accuracy on darker skin tones in clinical pilot</t>
  </si>
  <si>
    <t>24/10/2023</t>
  </si>
  <si>
    <t>AI-0119</t>
  </si>
  <si>
    <t>Employee-wellness AI shared health survey responses with hiring managers</t>
  </si>
  <si>
    <t>AI-0120</t>
  </si>
  <si>
    <t>Commercial-policy pricing AI loaded premiums by owner surname origin</t>
  </si>
  <si>
    <t>18/08/2024</t>
  </si>
  <si>
    <t>AI-0121</t>
  </si>
  <si>
    <t>Audience-segmentation AI leaked identifiable browsing profiles to ad partners</t>
  </si>
  <si>
    <t>AI-0122</t>
  </si>
  <si>
    <t>Symptom-checker AI invented drug recall, patients stopped medication</t>
  </si>
  <si>
    <t>AI-0123</t>
  </si>
  <si>
    <t>Contract-drafting AI inserted clause citing nonexistent consumer protection act</t>
  </si>
  <si>
    <t>16/11/2025</t>
  </si>
  <si>
    <t>AI-0124</t>
  </si>
  <si>
    <t>AI credential-stuffing campaign drained stored-value gift card balances</t>
  </si>
  <si>
    <t>AI-0125</t>
  </si>
  <si>
    <t>Personality assessment AI scored neurodivergent candidates poorly</t>
  </si>
  <si>
    <t>24/01/2023</t>
  </si>
  <si>
    <t>AI-0126</t>
  </si>
  <si>
    <t>Synthetic ID fraud ring used GenAI to open 340 accounts</t>
  </si>
  <si>
    <t>AI-0127</t>
  </si>
  <si>
    <t>AI test-generation tool masked failing security checks with fabricated passing results</t>
  </si>
  <si>
    <t>19/10/2022</t>
  </si>
  <si>
    <t>AI-0128</t>
  </si>
  <si>
    <t>Risk-scoring AI underestimated cardiac risk for female patients</t>
  </si>
  <si>
    <t>22/01/2024</t>
  </si>
  <si>
    <t>AI-0129</t>
  </si>
  <si>
    <t>Generative AI chat scam impersonated support agents, harvesting customer logins</t>
  </si>
  <si>
    <t>AI-0130</t>
  </si>
  <si>
    <t>Family law AI memo cited overturned cases as binding precedent</t>
  </si>
  <si>
    <t>AI-0131</t>
  </si>
  <si>
    <t>Product-page AI listed fictitious clinical study supporting skincare claims</t>
  </si>
  <si>
    <t>21/07/2025</t>
  </si>
  <si>
    <t>AI-0132</t>
  </si>
  <si>
    <t>Returns-processing AI emailed order histories to wrong customers in bulk</t>
  </si>
  <si>
    <t>AI-0133</t>
  </si>
  <si>
    <t>Document-automation AI exposed privileged client files via shared template cache</t>
  </si>
  <si>
    <t>20/01/2023</t>
  </si>
  <si>
    <t>AI-0134</t>
  </si>
  <si>
    <t>Employee monitoring AI transmitted webcam data to overseas server</t>
  </si>
  <si>
    <t>22/02/2021</t>
  </si>
  <si>
    <t>AI-0135</t>
  </si>
  <si>
    <t>Discharge-planning AI fabricated follow-up appointment instructions, patient harm</t>
  </si>
  <si>
    <t>Market Landscape</t>
  </si>
  <si>
    <t>Competitor positioning, Canadian market data, and policy-limit benchmark for AI liability insurance.</t>
  </si>
  <si>
    <t>A. Competitor Positioning</t>
  </si>
  <si>
    <t>Competitor</t>
  </si>
  <si>
    <t>Approach / Structure</t>
  </si>
  <si>
    <t>Target Segment</t>
  </si>
  <si>
    <t>Coverage Scope</t>
  </si>
  <si>
    <t>Market Role / Stance</t>
  </si>
  <si>
    <t>Source</t>
  </si>
  <si>
    <t>Munich Re / HSB</t>
  </si>
  <si>
    <t>Embedded AI Liability endorsement added to partner carriers’ existing business policies; not sold directly.</t>
  </si>
  <si>
    <t>Main Street SMEs (micro, small, medium).</t>
  </si>
  <si>
    <t>Bodily injury, property damage, and advertising injury from AI-generated content or automated systems.</t>
  </si>
  <si>
    <t>Building pricing, underwriting, and accumulation controls; anticipates repurchase demand as ISO exclusions take hold.</t>
  </si>
  <si>
    <t>Testudo</t>
  </si>
  <si>
    <t>Standalone Generative AI Liability product, backed by Lloyd’s syndicates; written as its own coverage.</t>
  </si>
  <si>
    <t>Enterprises deploying generative AI.</t>
  </si>
  <si>
    <t>Third-party claims from generative AI outputs, where standard CGL may not respond.</t>
  </si>
  <si>
    <t>Built around the carve-out of AI risk from traditional CGL.</t>
  </si>
  <si>
    <t>testudo.co</t>
  </si>
  <si>
    <t>Coalition</t>
  </si>
  <si>
    <t>Affirmative AI Endorsement added to existing cyber policies (US surplus and Canada); not standalone.</t>
  </si>
  <si>
    <t>Rooted in SMEs; capacity extended to mid-market and enterprise.</t>
  </si>
  <si>
    <t>AI security events and deepfake / AI funds-transfer fraud, within cyber coverage.</t>
  </si>
  <si>
    <t>Reduces “silent AI” ambiguity by affirmatively defining when AI incidents are covered.</t>
  </si>
  <si>
    <t>Traditional Carriers</t>
  </si>
  <si>
    <t>Standard CGL / E&amp;O / D&amp;O wording with no AI-specific language.</t>
  </si>
  <si>
    <t>All commercial segments.</t>
  </si>
  <si>
    <t>May or may not respond to AI claims; coverage is ambiguous (“silent AI”).</t>
  </si>
  <si>
    <t>Largely wait-and-see; some beginning to attach ISO exclusions.</t>
  </si>
  <si>
    <t>Business Insurance (Apr 2026)</t>
  </si>
  <si>
    <t>Note: Coalition’s AI endorsement sits within cyber coverage, narrower than the general AI-liability framing of the strategic options; included as a third endorsement-model precedent, not a like-for-like comparison.</t>
  </si>
  <si>
    <t>B. Canadian Market — Key Data</t>
  </si>
  <si>
    <t>The AI market is estimated to have a current total valuation of roughly $600 billion in 2026. AI adoption in Canada is rising quickly but off a low base. Statistics Canada reports that 12.2% of Canadian firms used AI to produce goods or deliver services in 2025, double the 6.1% recorded in 2024, with a further 14.5% planning to adopt within twelve months, meaning the addressable risk pool is expanding rapidly rather than already mature. Finance and insurance is among the highest-adopting sectors at 30.6%. Enterprise adoption outpaces the small-business segment: roughly 37% of IT professionals in large Canadian enterprises report actively deploying AI, which reinforces the segment tension in the standalone-product option. On the supply side, the Canadian market is moving through endorsements rather than standalone products: Coalition’s affirmative AI endorsement on its Canada cyber policies is the visible local precedent, mirroring the HSB embedded-coverage model and contrasting with Testudo’s enterprise-focused standalone product, which is not shown to be available in Canada.</t>
  </si>
  <si>
    <t>https://www.coalitioninc.com/</t>
  </si>
  <si>
    <t>https://www.munichre.com/en.html/hsb (Mar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</si>
</sst>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
  </numFmts>
  <fonts count="21" x14ac:knownFonts="1">
    <font>
      <sz val="10"/>
      <color rgb="FF000000"/>
      <name val="Arial"/>
      <charset val="1"/>
    </font>
    <font>
      <b/>
      <sz val="15"/>
      <color rgb="FF1155CC"/>
      <name val="Arial"/>
      <charset val="1"/>
    </font>
    <font>
      <i/>
      <sz val="10"/>
      <color rgb="FF555555"/>
      <name val="Arial"/>
      <charset val="1"/>
    </font>
    <font>
      <b/>
      <sz val="12"/>
      <color rgb="FF1155CC"/>
      <name val="Arial"/>
      <charset val="1"/>
    </font>
    <font>
      <b/>
      <sz val="10"/>
      <color rgb="FF000000"/>
      <name val="Arial"/>
      <charset val="1"/>
    </font>
    <font>
      <b/>
      <sz val="10"/>
      <color rgb="FFFFFFFF"/>
      <name val="Arial"/>
      <charset val="1"/>
    </font>
    <font>
      <b/>
      <sz val="11"/>
      <color rgb="FFFFFFFF"/>
      <name val="Arial"/>
      <charset val="1"/>
    </font>
    <font>
      <b/>
      <sz val="11"/>
      <color theme="1"/>
      <name val="Arial"/>
      <charset val="1"/>
    </font>
    <font>
      <sz val="11"/>
      <color theme="1"/>
      <name val="Arial"/>
      <charset val="1"/>
    </font>
    <font>
      <b/>
      <sz val="13"/>
      <color rgb="FF1155CC"/>
      <name val="Arial"/>
      <charset val="1"/>
    </font>
    <font>
      <sz val="11"/>
      <color rgb="FF000000"/>
      <name val="Helvetica Neue"/>
      <charset val="1"/>
    </font>
    <font>
      <b/>
      <sz val="14"/>
      <color rgb="FF000000"/>
      <name val="Helvetica Neue"/>
      <charset val="1"/>
    </font>
    <font>
      <b/>
      <sz val="11"/>
      <color rgb="FF000000"/>
      <name val="Helvetica Neue"/>
      <charset val="1"/>
    </font>
    <font>
      <b/>
      <sz val="14"/>
      <color theme="1"/>
      <name val="Arial"/>
      <charset val="1"/>
    </font>
    <font>
      <sz val="12"/>
      <color theme="1"/>
      <name val="Arial"/>
      <charset val="1"/>
    </font>
    <font>
      <i/>
      <sz val="11"/>
      <color rgb="FF595959"/>
      <name val="Arial"/>
      <charset val="1"/>
    </font>
    <font>
      <b/>
      <sz val="12"/>
      <color rgb="FFFFFFFF"/>
      <name val="Arial"/>
      <charset val="1"/>
    </font>
    <font>
      <b/>
      <sz val="12"/>
      <color theme="1"/>
      <name val="Arial"/>
      <charset val="1"/>
    </font>
    <font>
      <u/>
      <sz val="12"/>
      <color rgb="FF1155CC"/>
      <name val="Arial"/>
      <charset val="1"/>
    </font>
    <font>
      <u/>
      <sz val="10"/>
      <color theme="10"/>
      <name val="Arial"/>
      <charset val="1"/>
    </font>
    <font>
      <sz val="12"/>
      <color theme="1"/>
      <name val="Arial"/>
      <family val="2"/>
    </font>
  </fonts>
  <fills count="5">
    <fill>
      <patternFill patternType="none"/>
    </fill>
    <fill>
      <patternFill patternType="gray125"/>
    </fill>
    <fill>
      <patternFill patternType="solid">
        <fgColor rgb="FF2E75B6"/>
        <bgColor rgb="FF1155CC"/>
      </patternFill>
    </fill>
    <fill>
      <patternFill patternType="solid">
        <fgColor rgb="FFEDF3FA"/>
        <bgColor rgb="FFFFFFFF"/>
      </patternFill>
    </fill>
    <fill>
      <patternFill patternType="solid">
        <fgColor rgb="FFD9E6F2"/>
        <bgColor rgb="FFEDF3FA"/>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9" fillId="0" borderId="0" applyNumberFormat="0" applyFill="0" applyBorder="0" applyAlignment="0" applyProtection="0"/>
  </cellStyleXfs>
  <cellXfs count="38">
    <xf numFmtId="0" fontId="0" fillId="0" borderId="0" xfId="0"/>
    <xf numFmtId="0" fontId="15" fillId="0" borderId="0" xfId="0" applyFont="1"/>
    <xf numFmtId="0" fontId="11" fillId="0" borderId="0" xfId="0" applyFont="1" applyAlignment="1">
      <alignment vertical="top"/>
    </xf>
    <xf numFmtId="0" fontId="0" fillId="0" borderId="0" xfId="0"/>
    <xf numFmtId="0" fontId="0" fillId="0" borderId="1" xfId="0" applyBorder="1" applyAlignment="1">
      <alignment horizontal="left" vertical="top" wrapText="1"/>
    </xf>
    <xf numFmtId="0" fontId="5" fillId="2" borderId="1" xfId="0" applyFont="1" applyFill="1" applyBorder="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4" fillId="0" borderId="0" xfId="0" applyFont="1" applyAlignment="1">
      <alignment horizontal="left" vertical="top" wrapText="1"/>
    </xf>
    <xf numFmtId="0" fontId="5" fillId="2"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6" fillId="2" borderId="1" xfId="0" applyFont="1" applyFill="1" applyBorder="1" applyAlignment="1">
      <alignment vertical="top"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0" borderId="0" xfId="0" applyFont="1"/>
    <xf numFmtId="0" fontId="10" fillId="0" borderId="0" xfId="0" applyFont="1" applyAlignment="1">
      <alignment vertical="top"/>
    </xf>
    <xf numFmtId="0" fontId="10" fillId="0" borderId="0" xfId="0" applyFont="1" applyAlignment="1">
      <alignment horizontal="center" vertical="top"/>
    </xf>
    <xf numFmtId="0" fontId="11" fillId="0" borderId="0" xfId="0" applyFont="1" applyAlignment="1">
      <alignment vertical="top"/>
    </xf>
    <xf numFmtId="0" fontId="12" fillId="0" borderId="0" xfId="0" applyFont="1" applyAlignment="1">
      <alignment vertical="top"/>
    </xf>
    <xf numFmtId="0" fontId="12" fillId="0" borderId="0" xfId="0" applyFont="1" applyAlignment="1">
      <alignment horizontal="center" vertical="top"/>
    </xf>
    <xf numFmtId="4" fontId="10" fillId="0" borderId="0" xfId="0" applyNumberFormat="1" applyFont="1" applyAlignment="1">
      <alignment horizontal="center" vertical="top"/>
    </xf>
    <xf numFmtId="164" fontId="10" fillId="0" borderId="0" xfId="0" applyNumberFormat="1" applyFont="1" applyAlignment="1">
      <alignment horizontal="center" vertical="top"/>
    </xf>
    <xf numFmtId="2" fontId="10" fillId="0" borderId="0" xfId="0" applyNumberFormat="1" applyFont="1" applyAlignment="1">
      <alignment horizontal="center" vertical="top"/>
    </xf>
    <xf numFmtId="0" fontId="13" fillId="0" borderId="0" xfId="0" applyFont="1" applyAlignment="1">
      <alignment horizontal="center"/>
    </xf>
    <xf numFmtId="0" fontId="14" fillId="0" borderId="0" xfId="0" applyFont="1"/>
    <xf numFmtId="166" fontId="14" fillId="0" borderId="2" xfId="0" applyNumberFormat="1" applyFont="1" applyBorder="1" applyAlignment="1">
      <alignment horizontal="right"/>
    </xf>
    <xf numFmtId="0" fontId="8" fillId="0" borderId="0" xfId="0" applyFont="1"/>
    <xf numFmtId="0" fontId="3" fillId="0" borderId="0" xfId="0" applyFont="1"/>
    <xf numFmtId="0" fontId="16" fillId="2" borderId="2" xfId="0" applyFont="1" applyFill="1" applyBorder="1"/>
    <xf numFmtId="0" fontId="17" fillId="3" borderId="2" xfId="0" applyFont="1" applyFill="1" applyBorder="1" applyAlignment="1">
      <alignment vertical="top"/>
    </xf>
    <xf numFmtId="0" fontId="14" fillId="0" borderId="2" xfId="0" applyFont="1" applyBorder="1" applyAlignment="1">
      <alignment vertical="top" wrapText="1"/>
    </xf>
    <xf numFmtId="0" fontId="18" fillId="0" borderId="2" xfId="0" applyFont="1" applyBorder="1" applyAlignment="1">
      <alignment vertical="top" wrapText="1"/>
    </xf>
    <xf numFmtId="14" fontId="14" fillId="0" borderId="0" xfId="0" applyNumberFormat="1" applyFont="1" applyAlignment="1">
      <alignment horizontal="left"/>
    </xf>
    <xf numFmtId="0" fontId="14" fillId="0" borderId="0" xfId="0" applyFont="1" applyAlignment="1">
      <alignment horizontal="center" vertical="center" wrapText="1"/>
    </xf>
    <xf numFmtId="0" fontId="20" fillId="0" borderId="2" xfId="0" applyFont="1" applyBorder="1" applyAlignment="1">
      <alignment vertical="top" wrapText="1"/>
    </xf>
    <xf numFmtId="0" fontId="19" fillId="0" borderId="2" xfId="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F3FA"/>
      <rgbColor rgb="FFD9E6F2"/>
      <rgbColor rgb="FF660066"/>
      <rgbColor rgb="FFFF8080"/>
      <rgbColor rgb="FF1155CC"/>
      <rgbColor rgb="FFBBBBB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www.munichre.com/en.html/hsb%20(Mar%202026)" TargetMode="External"/><Relationship Id="rId2" Type="http://schemas.openxmlformats.org/officeDocument/2006/relationships/hyperlink" Target="https://www.coalitioninc.com/" TargetMode="External"/><Relationship Id="rId1" Type="http://schemas.openxmlformats.org/officeDocument/2006/relationships/hyperlink" Target="http://testudo.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000"/>
  <sheetViews>
    <sheetView showGridLines="0" zoomScaleNormal="100" workbookViewId="0">
      <selection sqref="A1:D1"/>
    </sheetView>
  </sheetViews>
  <sheetFormatPr baseColWidth="10" defaultColWidth="12.6640625" defaultRowHeight="15" customHeight="1" x14ac:dyDescent="0.15"/>
  <cols>
    <col min="1" max="1" width="26" customWidth="1"/>
    <col min="2" max="2" width="30" customWidth="1"/>
    <col min="3" max="3" width="50" customWidth="1"/>
    <col min="4" max="4" width="40" customWidth="1"/>
  </cols>
  <sheetData>
    <row r="1" spans="1:4" ht="24" customHeight="1" x14ac:dyDescent="0.15">
      <c r="A1" s="9" t="s">
        <v>0</v>
      </c>
      <c r="B1" s="9"/>
      <c r="C1" s="9"/>
      <c r="D1" s="9"/>
    </row>
    <row r="2" spans="1:4" ht="15.75" customHeight="1" x14ac:dyDescent="0.15">
      <c r="A2" s="8" t="s">
        <v>1</v>
      </c>
      <c r="B2" s="8"/>
      <c r="C2" s="8"/>
      <c r="D2" s="8"/>
    </row>
    <row r="3" spans="1:4" ht="15.75" customHeight="1" x14ac:dyDescent="0.15"/>
    <row r="4" spans="1:4" ht="15.75" customHeight="1" x14ac:dyDescent="0.15">
      <c r="A4" s="7" t="s">
        <v>2</v>
      </c>
      <c r="B4" s="7"/>
      <c r="C4" s="7"/>
      <c r="D4" s="7"/>
    </row>
    <row r="5" spans="1:4" ht="42" customHeight="1" x14ac:dyDescent="0.15">
      <c r="A5" s="10" t="s">
        <v>3</v>
      </c>
      <c r="B5" s="6" t="s">
        <v>4</v>
      </c>
      <c r="C5" s="6"/>
      <c r="D5" s="6"/>
    </row>
    <row r="6" spans="1:4" ht="42" customHeight="1" x14ac:dyDescent="0.15">
      <c r="A6" s="10" t="s">
        <v>5</v>
      </c>
      <c r="B6" s="6" t="s">
        <v>6</v>
      </c>
      <c r="C6" s="6"/>
      <c r="D6" s="6"/>
    </row>
    <row r="7" spans="1:4" ht="42" customHeight="1" x14ac:dyDescent="0.15">
      <c r="A7" s="10" t="s">
        <v>7</v>
      </c>
      <c r="B7" s="6" t="s">
        <v>8</v>
      </c>
      <c r="C7" s="6"/>
      <c r="D7" s="6"/>
    </row>
    <row r="8" spans="1:4" ht="15.75" customHeight="1" x14ac:dyDescent="0.15">
      <c r="A8" s="7" t="s">
        <v>9</v>
      </c>
      <c r="B8" s="7"/>
      <c r="C8" s="7"/>
      <c r="D8" s="7"/>
    </row>
    <row r="9" spans="1:4" ht="21.75" customHeight="1" x14ac:dyDescent="0.15">
      <c r="A9" s="11" t="s">
        <v>10</v>
      </c>
      <c r="B9" s="5" t="s">
        <v>11</v>
      </c>
      <c r="C9" s="5"/>
      <c r="D9" s="5"/>
    </row>
    <row r="10" spans="1:4" ht="51.75" customHeight="1" x14ac:dyDescent="0.15">
      <c r="A10" s="12" t="s">
        <v>12</v>
      </c>
      <c r="B10" s="4" t="s">
        <v>13</v>
      </c>
      <c r="C10" s="4"/>
      <c r="D10" s="4"/>
    </row>
    <row r="11" spans="1:4" ht="51.75" customHeight="1" x14ac:dyDescent="0.15">
      <c r="A11" s="12" t="s">
        <v>14</v>
      </c>
      <c r="B11" s="4" t="s">
        <v>15</v>
      </c>
      <c r="C11" s="4"/>
      <c r="D11" s="4"/>
    </row>
    <row r="12" spans="1:4" ht="51.75" customHeight="1" x14ac:dyDescent="0.15">
      <c r="A12" s="12" t="s">
        <v>16</v>
      </c>
      <c r="B12" s="4" t="s">
        <v>17</v>
      </c>
      <c r="C12" s="4"/>
      <c r="D12" s="4"/>
    </row>
    <row r="13" spans="1:4" ht="51.75" customHeight="1" x14ac:dyDescent="0.15">
      <c r="A13" s="12" t="s">
        <v>18</v>
      </c>
      <c r="B13" s="4" t="s">
        <v>19</v>
      </c>
      <c r="C13" s="4"/>
      <c r="D13" s="4"/>
    </row>
    <row r="14" spans="1:4" ht="51.75" customHeight="1" x14ac:dyDescent="0.15">
      <c r="A14" s="12" t="s">
        <v>20</v>
      </c>
      <c r="B14" s="4" t="s">
        <v>21</v>
      </c>
      <c r="C14" s="4"/>
      <c r="D14" s="4"/>
    </row>
    <row r="15" spans="1:4" ht="15.75" customHeight="1" x14ac:dyDescent="0.15">
      <c r="A15" s="3"/>
      <c r="B15" s="3"/>
      <c r="C15" s="3"/>
      <c r="D15" s="3"/>
    </row>
    <row r="16" spans="1:4" ht="18.75" customHeight="1" x14ac:dyDescent="0.15">
      <c r="A16" s="7" t="s">
        <v>22</v>
      </c>
      <c r="B16" s="7"/>
      <c r="C16" s="7"/>
      <c r="D16" s="7"/>
    </row>
    <row r="17" spans="1:4" ht="30" customHeight="1" x14ac:dyDescent="0.15">
      <c r="A17" s="13" t="s">
        <v>23</v>
      </c>
      <c r="B17" s="13" t="s">
        <v>24</v>
      </c>
      <c r="C17" s="13" t="s">
        <v>25</v>
      </c>
    </row>
    <row r="18" spans="1:4" ht="54" customHeight="1" x14ac:dyDescent="0.15">
      <c r="A18" s="14" t="s">
        <v>26</v>
      </c>
      <c r="B18" s="15" t="s">
        <v>27</v>
      </c>
      <c r="C18" s="15" t="s">
        <v>28</v>
      </c>
    </row>
    <row r="19" spans="1:4" ht="54" customHeight="1" x14ac:dyDescent="0.15">
      <c r="A19" s="14" t="s">
        <v>29</v>
      </c>
      <c r="B19" s="15" t="s">
        <v>30</v>
      </c>
      <c r="C19" s="15" t="s">
        <v>31</v>
      </c>
    </row>
    <row r="20" spans="1:4" ht="54" customHeight="1" x14ac:dyDescent="0.15">
      <c r="A20" s="14" t="s">
        <v>32</v>
      </c>
      <c r="B20" s="15" t="s">
        <v>33</v>
      </c>
      <c r="C20" s="15" t="s">
        <v>34</v>
      </c>
    </row>
    <row r="21" spans="1:4" ht="54" customHeight="1" x14ac:dyDescent="0.15">
      <c r="A21" s="14" t="s">
        <v>35</v>
      </c>
      <c r="B21" s="15" t="s">
        <v>36</v>
      </c>
      <c r="C21" s="15" t="s">
        <v>37</v>
      </c>
    </row>
    <row r="22" spans="1:4" ht="54" customHeight="1" x14ac:dyDescent="0.15">
      <c r="A22" s="14" t="s">
        <v>38</v>
      </c>
      <c r="B22" s="15" t="s">
        <v>39</v>
      </c>
      <c r="C22" s="15" t="s">
        <v>40</v>
      </c>
    </row>
    <row r="23" spans="1:4" ht="54" customHeight="1" x14ac:dyDescent="0.15">
      <c r="A23" s="14" t="s">
        <v>41</v>
      </c>
      <c r="B23" s="15" t="s">
        <v>42</v>
      </c>
      <c r="C23" s="15" t="s">
        <v>43</v>
      </c>
    </row>
    <row r="24" spans="1:4" ht="43.5" customHeight="1" x14ac:dyDescent="0.15">
      <c r="A24" s="3"/>
      <c r="B24" s="3"/>
      <c r="C24" s="3"/>
      <c r="D24" s="3"/>
    </row>
    <row r="25" spans="1:4" ht="15.75" customHeight="1" x14ac:dyDescent="0.15"/>
    <row r="26" spans="1:4" ht="15.75" customHeight="1" x14ac:dyDescent="0.15"/>
    <row r="27" spans="1:4" ht="15.75" customHeight="1" x14ac:dyDescent="0.15"/>
    <row r="28" spans="1:4" ht="15.75" customHeight="1" x14ac:dyDescent="0.15"/>
    <row r="29" spans="1:4" ht="15.75" customHeight="1" x14ac:dyDescent="0.15"/>
    <row r="30" spans="1:4" ht="15.75" customHeight="1" x14ac:dyDescent="0.15"/>
    <row r="31" spans="1:4" ht="15.75" customHeight="1" x14ac:dyDescent="0.15"/>
    <row r="32" spans="1:4"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6">
    <mergeCell ref="A24:D24"/>
    <mergeCell ref="B12:D12"/>
    <mergeCell ref="B13:D13"/>
    <mergeCell ref="B14:D14"/>
    <mergeCell ref="A15:D15"/>
    <mergeCell ref="A16:D16"/>
    <mergeCell ref="B7:D7"/>
    <mergeCell ref="A8:D8"/>
    <mergeCell ref="B9:D9"/>
    <mergeCell ref="B10:D10"/>
    <mergeCell ref="B11:D11"/>
    <mergeCell ref="A1:D1"/>
    <mergeCell ref="A2:D2"/>
    <mergeCell ref="A4:D4"/>
    <mergeCell ref="B5:D5"/>
    <mergeCell ref="B6:D6"/>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F1005"/>
  <sheetViews>
    <sheetView zoomScaleNormal="100" workbookViewId="0"/>
  </sheetViews>
  <sheetFormatPr baseColWidth="10" defaultColWidth="12.6640625" defaultRowHeight="15" customHeight="1" x14ac:dyDescent="0.15"/>
  <cols>
    <col min="1" max="1" width="33.6640625" customWidth="1"/>
  </cols>
  <sheetData>
    <row r="1" spans="1:6" ht="17" x14ac:dyDescent="0.2">
      <c r="A1" s="16" t="s">
        <v>44</v>
      </c>
      <c r="B1" s="16" t="s">
        <v>45</v>
      </c>
    </row>
    <row r="2" spans="1:6" ht="15.75" customHeight="1" x14ac:dyDescent="0.15">
      <c r="A2" s="17"/>
      <c r="B2" s="18"/>
      <c r="C2" s="18"/>
      <c r="D2" s="18"/>
      <c r="E2" s="18"/>
      <c r="F2" s="18"/>
    </row>
    <row r="3" spans="1:6" ht="18" x14ac:dyDescent="0.15">
      <c r="A3" s="2" t="s">
        <v>46</v>
      </c>
      <c r="B3" s="2"/>
      <c r="C3" s="18"/>
      <c r="D3" s="18"/>
      <c r="E3" s="18"/>
      <c r="F3" s="18"/>
    </row>
    <row r="4" spans="1:6" ht="15.75" customHeight="1" x14ac:dyDescent="0.15">
      <c r="A4" s="20" t="s">
        <v>47</v>
      </c>
      <c r="B4" s="21">
        <v>2021</v>
      </c>
      <c r="C4" s="21">
        <v>2022</v>
      </c>
      <c r="D4" s="21">
        <v>2023</v>
      </c>
      <c r="E4" s="21">
        <v>2024</v>
      </c>
      <c r="F4" s="21">
        <v>2025</v>
      </c>
    </row>
    <row r="5" spans="1:6" ht="15.75" customHeight="1" x14ac:dyDescent="0.15">
      <c r="A5" s="20" t="s">
        <v>12</v>
      </c>
      <c r="B5" s="22">
        <v>4150</v>
      </c>
      <c r="C5" s="22">
        <v>4413</v>
      </c>
      <c r="D5" s="22">
        <v>4592</v>
      </c>
      <c r="E5" s="22">
        <v>4889</v>
      </c>
      <c r="F5" s="22">
        <v>5012</v>
      </c>
    </row>
    <row r="6" spans="1:6" ht="15.75" customHeight="1" x14ac:dyDescent="0.15">
      <c r="A6" s="20" t="s">
        <v>48</v>
      </c>
      <c r="B6" s="23">
        <f>B8/B5</f>
        <v>0.12216867469879518</v>
      </c>
      <c r="C6" s="23">
        <f>C8/C5</f>
        <v>0.11466122818944029</v>
      </c>
      <c r="D6" s="23">
        <f>D8/D5</f>
        <v>0.12195121951219512</v>
      </c>
      <c r="E6" s="23">
        <f>E8/E5</f>
        <v>0.11679280016363265</v>
      </c>
      <c r="F6" s="23">
        <f>F8/F5</f>
        <v>0.12011173184357542</v>
      </c>
    </row>
    <row r="7" spans="1:6" ht="15.75" customHeight="1" x14ac:dyDescent="0.15">
      <c r="A7" s="20" t="s">
        <v>49</v>
      </c>
      <c r="B7" s="24">
        <v>78924</v>
      </c>
      <c r="C7" s="24">
        <v>70402.899999999994</v>
      </c>
      <c r="D7" s="24">
        <v>93844.4</v>
      </c>
      <c r="E7" s="24">
        <v>88885</v>
      </c>
      <c r="F7" s="24">
        <v>105606.1</v>
      </c>
    </row>
    <row r="8" spans="1:6" ht="15.75" customHeight="1" x14ac:dyDescent="0.15">
      <c r="A8" s="20" t="s">
        <v>50</v>
      </c>
      <c r="B8" s="24">
        <v>507</v>
      </c>
      <c r="C8" s="24">
        <v>506</v>
      </c>
      <c r="D8" s="24">
        <v>560</v>
      </c>
      <c r="E8" s="24">
        <v>571</v>
      </c>
      <c r="F8" s="24">
        <v>602</v>
      </c>
    </row>
    <row r="9" spans="1:6" ht="15.75" customHeight="1" x14ac:dyDescent="0.15">
      <c r="A9" s="20" t="s">
        <v>51</v>
      </c>
      <c r="B9" s="24">
        <v>46160.2</v>
      </c>
      <c r="C9" s="24">
        <v>45439.1</v>
      </c>
      <c r="D9" s="24">
        <v>58139.1</v>
      </c>
      <c r="E9" s="24">
        <v>56792.7</v>
      </c>
      <c r="F9" s="24">
        <v>59988.6</v>
      </c>
    </row>
    <row r="10" spans="1:6" ht="15.75" customHeight="1" x14ac:dyDescent="0.15">
      <c r="A10" s="20" t="s">
        <v>52</v>
      </c>
      <c r="B10" s="24">
        <f>B9/B8</f>
        <v>91.045759368836286</v>
      </c>
      <c r="C10" s="24">
        <f>C9/C8</f>
        <v>89.800592885375494</v>
      </c>
      <c r="D10" s="24">
        <f>D9/D8</f>
        <v>103.81982142857143</v>
      </c>
      <c r="E10" s="24">
        <f>E9/E8</f>
        <v>99.461821366024509</v>
      </c>
      <c r="F10" s="24">
        <f>F9/F8</f>
        <v>99.648837209302329</v>
      </c>
    </row>
    <row r="11" spans="1:6" ht="15.75" customHeight="1" x14ac:dyDescent="0.15">
      <c r="A11" s="20" t="s">
        <v>53</v>
      </c>
      <c r="B11" s="24">
        <v>19731</v>
      </c>
      <c r="C11" s="24">
        <v>17600.7</v>
      </c>
      <c r="D11" s="24">
        <v>23461.1</v>
      </c>
      <c r="E11" s="24">
        <v>22221.200000000001</v>
      </c>
      <c r="F11" s="24">
        <v>26401.5</v>
      </c>
    </row>
    <row r="12" spans="1:6" ht="15.75" customHeight="1" x14ac:dyDescent="0.15">
      <c r="A12" s="19"/>
      <c r="B12" s="19"/>
      <c r="C12" s="19"/>
      <c r="D12" s="18"/>
      <c r="E12" s="18"/>
      <c r="F12" s="18"/>
    </row>
    <row r="13" spans="1:6" ht="18" x14ac:dyDescent="0.15">
      <c r="A13" s="19" t="s">
        <v>54</v>
      </c>
      <c r="B13" s="19"/>
      <c r="C13" s="19"/>
      <c r="D13" s="18"/>
      <c r="E13" s="18"/>
      <c r="F13" s="18"/>
    </row>
    <row r="14" spans="1:6" ht="15.75" customHeight="1" x14ac:dyDescent="0.15">
      <c r="A14" s="20" t="s">
        <v>47</v>
      </c>
      <c r="B14" s="21">
        <v>2021</v>
      </c>
      <c r="C14" s="21">
        <v>2022</v>
      </c>
      <c r="D14" s="21">
        <v>2023</v>
      </c>
      <c r="E14" s="21">
        <v>2024</v>
      </c>
      <c r="F14" s="21">
        <v>2025</v>
      </c>
    </row>
    <row r="15" spans="1:6" ht="15.75" customHeight="1" x14ac:dyDescent="0.15">
      <c r="A15" s="20" t="s">
        <v>12</v>
      </c>
      <c r="B15" s="22">
        <v>1826</v>
      </c>
      <c r="C15" s="22">
        <v>2110</v>
      </c>
      <c r="D15" s="22">
        <v>2788</v>
      </c>
      <c r="E15" s="22">
        <v>3375</v>
      </c>
      <c r="F15" s="22">
        <v>3998</v>
      </c>
    </row>
    <row r="16" spans="1:6" ht="15.75" customHeight="1" x14ac:dyDescent="0.15">
      <c r="A16" s="20" t="s">
        <v>48</v>
      </c>
      <c r="B16" s="23">
        <f>B18/B15</f>
        <v>0.23713033953997809</v>
      </c>
      <c r="C16" s="23">
        <f>C18/C15</f>
        <v>9.8104265402843602E-2</v>
      </c>
      <c r="D16" s="23">
        <f>D18/D15</f>
        <v>0.14383070301291248</v>
      </c>
      <c r="E16" s="23">
        <f>E18/E15</f>
        <v>0.14459259259259261</v>
      </c>
      <c r="F16" s="23">
        <f>F18/F15</f>
        <v>7.6788394197098556E-2</v>
      </c>
    </row>
    <row r="17" spans="1:6" ht="15.75" customHeight="1" x14ac:dyDescent="0.15">
      <c r="A17" s="20" t="s">
        <v>49</v>
      </c>
      <c r="B17" s="24">
        <v>122280.2</v>
      </c>
      <c r="C17" s="24">
        <v>68400.800000000003</v>
      </c>
      <c r="D17" s="24">
        <v>138581.4</v>
      </c>
      <c r="E17" s="24">
        <v>138679.1</v>
      </c>
      <c r="F17" s="24">
        <v>132066.5</v>
      </c>
    </row>
    <row r="18" spans="1:6" ht="15.75" customHeight="1" x14ac:dyDescent="0.15">
      <c r="A18" s="20" t="s">
        <v>50</v>
      </c>
      <c r="B18" s="24">
        <v>433</v>
      </c>
      <c r="C18" s="24">
        <v>207</v>
      </c>
      <c r="D18" s="24">
        <v>401</v>
      </c>
      <c r="E18" s="24">
        <v>488</v>
      </c>
      <c r="F18" s="24">
        <v>307</v>
      </c>
    </row>
    <row r="19" spans="1:6" ht="15.75" customHeight="1" x14ac:dyDescent="0.15">
      <c r="A19" s="20" t="s">
        <v>51</v>
      </c>
      <c r="B19" s="24">
        <v>71195.399999999994</v>
      </c>
      <c r="C19" s="24">
        <v>43176.5</v>
      </c>
      <c r="D19" s="24">
        <v>89354.1</v>
      </c>
      <c r="E19" s="24">
        <v>95442</v>
      </c>
      <c r="F19" s="24">
        <v>91966.5</v>
      </c>
    </row>
    <row r="20" spans="1:6" ht="15.75" customHeight="1" x14ac:dyDescent="0.15">
      <c r="A20" s="20" t="s">
        <v>52</v>
      </c>
      <c r="B20" s="24">
        <f>B19/B18</f>
        <v>164.42355658198613</v>
      </c>
      <c r="C20" s="24">
        <f>C19/C18</f>
        <v>208.58212560386474</v>
      </c>
      <c r="D20" s="24">
        <f>D19/D18</f>
        <v>222.82817955112222</v>
      </c>
      <c r="E20" s="24">
        <f>E19/E18</f>
        <v>195.57786885245901</v>
      </c>
      <c r="F20" s="24">
        <f>F19/F18</f>
        <v>299.56514657980455</v>
      </c>
    </row>
    <row r="21" spans="1:6" ht="15.75" customHeight="1" x14ac:dyDescent="0.15">
      <c r="A21" s="20" t="s">
        <v>53</v>
      </c>
      <c r="B21" s="24">
        <v>34238.400000000001</v>
      </c>
      <c r="C21" s="24">
        <v>19152.2</v>
      </c>
      <c r="D21" s="24">
        <v>38802.800000000003</v>
      </c>
      <c r="E21" s="24">
        <v>38830.1</v>
      </c>
      <c r="F21" s="24">
        <v>36978.6</v>
      </c>
    </row>
    <row r="22" spans="1:6" ht="15.75" customHeight="1" x14ac:dyDescent="0.15">
      <c r="A22" s="19"/>
      <c r="B22" s="19"/>
      <c r="C22" s="19"/>
      <c r="D22" s="18"/>
      <c r="E22" s="18"/>
      <c r="F22" s="18"/>
    </row>
    <row r="23" spans="1:6" ht="18" x14ac:dyDescent="0.15">
      <c r="A23" s="2" t="s">
        <v>55</v>
      </c>
      <c r="B23" s="2"/>
      <c r="C23" s="2"/>
      <c r="D23" s="18"/>
      <c r="E23" s="18"/>
      <c r="F23" s="18"/>
    </row>
    <row r="24" spans="1:6" ht="15.75" customHeight="1" x14ac:dyDescent="0.15">
      <c r="A24" s="20" t="s">
        <v>47</v>
      </c>
      <c r="B24" s="21">
        <v>2021</v>
      </c>
      <c r="C24" s="21">
        <v>2022</v>
      </c>
      <c r="D24" s="21">
        <v>2023</v>
      </c>
      <c r="E24" s="21">
        <v>2024</v>
      </c>
      <c r="F24" s="21">
        <v>2025</v>
      </c>
    </row>
    <row r="25" spans="1:6" ht="15.75" customHeight="1" x14ac:dyDescent="0.15">
      <c r="A25" s="20" t="s">
        <v>12</v>
      </c>
      <c r="B25" s="22">
        <v>953</v>
      </c>
      <c r="C25" s="22">
        <v>1002</v>
      </c>
      <c r="D25" s="22">
        <v>1075</v>
      </c>
      <c r="E25" s="22">
        <v>1282</v>
      </c>
      <c r="F25" s="22">
        <v>1430</v>
      </c>
    </row>
    <row r="26" spans="1:6" ht="15.75" customHeight="1" x14ac:dyDescent="0.15">
      <c r="A26" s="20" t="s">
        <v>48</v>
      </c>
      <c r="B26" s="23">
        <f>B28/B25</f>
        <v>0.15949632738719832</v>
      </c>
      <c r="C26" s="23">
        <f>C28/C25</f>
        <v>0.19361277445109781</v>
      </c>
      <c r="D26" s="23">
        <f>D28/D25</f>
        <v>0.15534883720930232</v>
      </c>
      <c r="E26" s="23">
        <f>E28/E25</f>
        <v>0.18096723868954759</v>
      </c>
      <c r="F26" s="23">
        <f>F28/F25</f>
        <v>0.16643356643356644</v>
      </c>
    </row>
    <row r="27" spans="1:6" ht="15.75" customHeight="1" x14ac:dyDescent="0.15">
      <c r="A27" s="20" t="s">
        <v>49</v>
      </c>
      <c r="B27" s="24">
        <v>51594.8</v>
      </c>
      <c r="C27" s="24">
        <v>46256.7</v>
      </c>
      <c r="D27" s="24">
        <v>54527.3</v>
      </c>
      <c r="E27" s="24">
        <v>101136.2</v>
      </c>
      <c r="F27" s="24">
        <v>100729.7</v>
      </c>
    </row>
    <row r="28" spans="1:6" ht="15.75" customHeight="1" x14ac:dyDescent="0.15">
      <c r="A28" s="20" t="s">
        <v>50</v>
      </c>
      <c r="B28" s="24">
        <v>152</v>
      </c>
      <c r="C28" s="24">
        <v>194</v>
      </c>
      <c r="D28" s="24">
        <v>167</v>
      </c>
      <c r="E28" s="24">
        <v>232</v>
      </c>
      <c r="F28" s="24">
        <v>238</v>
      </c>
    </row>
    <row r="29" spans="1:6" ht="15.75" customHeight="1" x14ac:dyDescent="0.15">
      <c r="A29" s="20" t="s">
        <v>51</v>
      </c>
      <c r="B29" s="24">
        <v>36065.699999999997</v>
      </c>
      <c r="C29" s="24">
        <v>31987.1</v>
      </c>
      <c r="D29" s="24">
        <v>33279.699999999997</v>
      </c>
      <c r="E29" s="24">
        <v>52630.3</v>
      </c>
      <c r="F29" s="24">
        <v>55157.9</v>
      </c>
    </row>
    <row r="30" spans="1:6" ht="15.75" customHeight="1" x14ac:dyDescent="0.15">
      <c r="A30" s="20" t="s">
        <v>52</v>
      </c>
      <c r="B30" s="24">
        <f>B29/B28</f>
        <v>237.27434210526314</v>
      </c>
      <c r="C30" s="24">
        <f>C29/C28</f>
        <v>164.8819587628866</v>
      </c>
      <c r="D30" s="24">
        <f>D29/D28</f>
        <v>199.27964071856286</v>
      </c>
      <c r="E30" s="24">
        <f>E29/E28</f>
        <v>226.85474137931035</v>
      </c>
      <c r="F30" s="24">
        <f>F29/F28</f>
        <v>231.75588235294117</v>
      </c>
    </row>
    <row r="31" spans="1:6" ht="15.75" customHeight="1" x14ac:dyDescent="0.15">
      <c r="A31" s="20" t="s">
        <v>53</v>
      </c>
      <c r="B31" s="24">
        <v>12898.7</v>
      </c>
      <c r="C31" s="24">
        <v>11564.2</v>
      </c>
      <c r="D31" s="24">
        <v>13631.8</v>
      </c>
      <c r="E31" s="24">
        <v>25284</v>
      </c>
      <c r="F31" s="24">
        <v>25182.400000000001</v>
      </c>
    </row>
    <row r="32" spans="1:6" ht="15.75" customHeight="1" x14ac:dyDescent="0.15">
      <c r="A32" s="19"/>
      <c r="B32" s="19"/>
      <c r="C32" s="19"/>
      <c r="D32" s="18"/>
      <c r="E32" s="18"/>
      <c r="F32" s="18"/>
    </row>
    <row r="33" spans="1:6" ht="18" x14ac:dyDescent="0.15">
      <c r="A33" s="2" t="s">
        <v>56</v>
      </c>
      <c r="B33" s="2"/>
      <c r="C33" s="2"/>
      <c r="D33" s="18"/>
      <c r="E33" s="18"/>
      <c r="F33" s="18"/>
    </row>
    <row r="34" spans="1:6" ht="15.75" customHeight="1" x14ac:dyDescent="0.15">
      <c r="A34" s="20" t="s">
        <v>47</v>
      </c>
      <c r="B34" s="21">
        <v>2021</v>
      </c>
      <c r="C34" s="21">
        <v>2022</v>
      </c>
      <c r="D34" s="21">
        <v>2023</v>
      </c>
      <c r="E34" s="21">
        <v>2024</v>
      </c>
      <c r="F34" s="21">
        <v>2025</v>
      </c>
    </row>
    <row r="35" spans="1:6" ht="15.75" customHeight="1" x14ac:dyDescent="0.15">
      <c r="A35" s="20" t="s">
        <v>12</v>
      </c>
      <c r="B35" s="22">
        <v>12162</v>
      </c>
      <c r="C35" s="22">
        <v>12199</v>
      </c>
      <c r="D35" s="22">
        <v>11779</v>
      </c>
      <c r="E35" s="22">
        <v>12041</v>
      </c>
      <c r="F35" s="22">
        <v>12450</v>
      </c>
    </row>
    <row r="36" spans="1:6" ht="15.75" customHeight="1" x14ac:dyDescent="0.15">
      <c r="A36" s="20" t="s">
        <v>48</v>
      </c>
      <c r="B36" s="23">
        <f>B38/B35</f>
        <v>0.11897714191744779</v>
      </c>
      <c r="C36" s="23">
        <f>C38/C35</f>
        <v>0.11763259283547832</v>
      </c>
      <c r="D36" s="23">
        <f>D38/D35</f>
        <v>0.12335512352491723</v>
      </c>
      <c r="E36" s="23">
        <f>E38/E35</f>
        <v>0.12374387509343078</v>
      </c>
      <c r="F36" s="23">
        <f>F38/F35</f>
        <v>0.11783132530120483</v>
      </c>
    </row>
    <row r="37" spans="1:6" ht="15.75" customHeight="1" x14ac:dyDescent="0.15">
      <c r="A37" s="20" t="s">
        <v>49</v>
      </c>
      <c r="B37" s="24">
        <v>212676.1</v>
      </c>
      <c r="C37" s="24">
        <v>210739.9</v>
      </c>
      <c r="D37" s="24">
        <v>212113.2</v>
      </c>
      <c r="E37" s="24">
        <v>217254.9</v>
      </c>
      <c r="F37" s="24">
        <v>186977.8</v>
      </c>
    </row>
    <row r="38" spans="1:6" ht="15.75" customHeight="1" x14ac:dyDescent="0.15">
      <c r="A38" s="20" t="s">
        <v>50</v>
      </c>
      <c r="B38" s="24">
        <v>1447</v>
      </c>
      <c r="C38" s="24">
        <v>1435</v>
      </c>
      <c r="D38" s="24">
        <v>1453</v>
      </c>
      <c r="E38" s="24">
        <v>1490</v>
      </c>
      <c r="F38" s="24">
        <v>1467</v>
      </c>
    </row>
    <row r="39" spans="1:6" ht="15.75" customHeight="1" x14ac:dyDescent="0.15">
      <c r="A39" s="20" t="s">
        <v>51</v>
      </c>
      <c r="B39" s="24">
        <v>115926</v>
      </c>
      <c r="C39" s="24">
        <v>116488.9</v>
      </c>
      <c r="D39" s="24">
        <v>117796</v>
      </c>
      <c r="E39" s="24">
        <v>119262.9</v>
      </c>
      <c r="F39" s="24">
        <v>103711.4</v>
      </c>
    </row>
    <row r="40" spans="1:6" ht="15.75" customHeight="1" x14ac:dyDescent="0.15">
      <c r="A40" s="20" t="s">
        <v>52</v>
      </c>
      <c r="B40" s="24">
        <f>B39/B38</f>
        <v>80.1147201105736</v>
      </c>
      <c r="C40" s="24">
        <f>C39/C38</f>
        <v>81.176933797909399</v>
      </c>
      <c r="D40" s="24">
        <f>D39/D38</f>
        <v>81.070887818306957</v>
      </c>
      <c r="E40" s="24">
        <f>E39/E38</f>
        <v>80.042214765100667</v>
      </c>
      <c r="F40" s="24">
        <f>F39/F38</f>
        <v>70.696250852079075</v>
      </c>
    </row>
    <row r="41" spans="1:6" ht="15.75" customHeight="1" x14ac:dyDescent="0.15">
      <c r="A41" s="20" t="s">
        <v>53</v>
      </c>
      <c r="B41" s="24">
        <v>46788.7</v>
      </c>
      <c r="C41" s="24">
        <v>46362.8</v>
      </c>
      <c r="D41" s="24">
        <v>46664.9</v>
      </c>
      <c r="E41" s="24">
        <v>47796.1</v>
      </c>
      <c r="F41" s="24">
        <v>41135.1</v>
      </c>
    </row>
    <row r="42" spans="1:6" ht="15.75" customHeight="1" x14ac:dyDescent="0.15"/>
    <row r="43" spans="1:6" ht="18" x14ac:dyDescent="0.15">
      <c r="A43" s="2" t="s">
        <v>57</v>
      </c>
      <c r="B43" s="2"/>
      <c r="C43" s="2"/>
      <c r="D43" s="18"/>
      <c r="E43" s="18"/>
      <c r="F43" s="18"/>
    </row>
    <row r="44" spans="1:6" ht="15.75" customHeight="1" x14ac:dyDescent="0.15">
      <c r="A44" s="20" t="s">
        <v>47</v>
      </c>
      <c r="B44" s="21">
        <v>2021</v>
      </c>
      <c r="C44" s="21">
        <v>2022</v>
      </c>
      <c r="D44" s="21">
        <v>2023</v>
      </c>
      <c r="E44" s="21">
        <v>2024</v>
      </c>
      <c r="F44" s="21">
        <v>2025</v>
      </c>
    </row>
    <row r="45" spans="1:6" ht="15.75" customHeight="1" x14ac:dyDescent="0.15">
      <c r="A45" s="20" t="s">
        <v>12</v>
      </c>
      <c r="B45" s="22">
        <v>8946</v>
      </c>
      <c r="C45" s="22">
        <v>9247</v>
      </c>
      <c r="D45" s="22">
        <v>9132</v>
      </c>
      <c r="E45" s="22">
        <v>9369</v>
      </c>
      <c r="F45" s="22">
        <v>9454</v>
      </c>
    </row>
    <row r="46" spans="1:6" ht="15.75" customHeight="1" x14ac:dyDescent="0.15">
      <c r="A46" s="20" t="s">
        <v>48</v>
      </c>
      <c r="B46" s="23">
        <f>B48/B45</f>
        <v>0.10764587525150905</v>
      </c>
      <c r="C46" s="23">
        <f>C48/C45</f>
        <v>0.11117119065642911</v>
      </c>
      <c r="D46" s="23">
        <f>D48/D45</f>
        <v>9.2203241349102058E-2</v>
      </c>
      <c r="E46" s="23">
        <f>E48/E45</f>
        <v>0.16543921443056889</v>
      </c>
      <c r="F46" s="23">
        <f>F48/F45</f>
        <v>0.14766236513645017</v>
      </c>
    </row>
    <row r="47" spans="1:6" ht="15.75" customHeight="1" x14ac:dyDescent="0.15">
      <c r="A47" s="20" t="s">
        <v>49</v>
      </c>
      <c r="B47" s="22">
        <v>140958.1</v>
      </c>
      <c r="C47" s="22">
        <v>186716.2</v>
      </c>
      <c r="D47" s="22">
        <v>124072.1</v>
      </c>
      <c r="E47" s="22">
        <v>297441.5</v>
      </c>
      <c r="F47" s="22">
        <v>308841.7</v>
      </c>
    </row>
    <row r="48" spans="1:6" ht="15.75" customHeight="1" x14ac:dyDescent="0.15">
      <c r="A48" s="20" t="s">
        <v>50</v>
      </c>
      <c r="B48" s="22">
        <v>963</v>
      </c>
      <c r="C48" s="22">
        <v>1028</v>
      </c>
      <c r="D48" s="22">
        <v>842</v>
      </c>
      <c r="E48" s="22">
        <v>1550</v>
      </c>
      <c r="F48" s="22">
        <v>1396</v>
      </c>
    </row>
    <row r="49" spans="1:6" ht="15.75" customHeight="1" x14ac:dyDescent="0.15">
      <c r="A49" s="20" t="s">
        <v>51</v>
      </c>
      <c r="B49" s="22">
        <v>83307.7</v>
      </c>
      <c r="C49" s="22">
        <v>111886.39999999999</v>
      </c>
      <c r="D49" s="22">
        <v>75472.100000000006</v>
      </c>
      <c r="E49" s="22">
        <v>179073.6</v>
      </c>
      <c r="F49" s="22">
        <v>183040.8</v>
      </c>
    </row>
    <row r="50" spans="1:6" ht="15.75" customHeight="1" x14ac:dyDescent="0.15">
      <c r="A50" s="20" t="s">
        <v>52</v>
      </c>
      <c r="B50" s="24">
        <f>B49/B48</f>
        <v>86.508515057113186</v>
      </c>
      <c r="C50" s="24">
        <f>C49/C48</f>
        <v>108.83891050583657</v>
      </c>
      <c r="D50" s="24">
        <f>D49/D48</f>
        <v>89.634323040380053</v>
      </c>
      <c r="E50" s="24">
        <f>E49/E48</f>
        <v>115.53135483870967</v>
      </c>
      <c r="F50" s="24">
        <f>F49/F48</f>
        <v>131.11805157593122</v>
      </c>
    </row>
    <row r="51" spans="1:6" ht="15.75" customHeight="1" x14ac:dyDescent="0.15">
      <c r="A51" s="20" t="s">
        <v>53</v>
      </c>
      <c r="B51" s="22">
        <v>35239.5</v>
      </c>
      <c r="C51" s="22">
        <v>46679</v>
      </c>
      <c r="D51" s="22">
        <v>31018</v>
      </c>
      <c r="E51" s="22">
        <v>74360.399999999994</v>
      </c>
      <c r="F51" s="22">
        <v>77210.399999999994</v>
      </c>
    </row>
    <row r="52" spans="1:6" ht="15.75" customHeight="1" x14ac:dyDescent="0.15"/>
    <row r="53" spans="1:6" ht="15.75" customHeight="1" x14ac:dyDescent="0.15"/>
    <row r="54" spans="1:6" ht="15.75" customHeight="1" x14ac:dyDescent="0.15"/>
    <row r="55" spans="1:6" ht="15.75" customHeight="1" x14ac:dyDescent="0.15"/>
    <row r="56" spans="1:6" ht="15.75" customHeight="1" x14ac:dyDescent="0.15"/>
    <row r="57" spans="1:6" ht="15.75" customHeight="1" x14ac:dyDescent="0.15"/>
    <row r="58" spans="1:6" ht="15.75" customHeight="1" x14ac:dyDescent="0.15"/>
    <row r="59" spans="1:6" ht="15.75" customHeight="1" x14ac:dyDescent="0.15"/>
    <row r="60" spans="1:6" ht="15.75" customHeight="1" x14ac:dyDescent="0.15"/>
    <row r="61" spans="1:6" ht="15.75" customHeight="1" x14ac:dyDescent="0.15"/>
    <row r="62" spans="1:6" ht="15.75" customHeight="1" x14ac:dyDescent="0.15"/>
    <row r="63" spans="1:6" ht="15.75" customHeight="1" x14ac:dyDescent="0.15"/>
    <row r="64" spans="1:6"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row r="1002" ht="15.75" customHeight="1" x14ac:dyDescent="0.15"/>
    <row r="1003" ht="15.75" customHeight="1" x14ac:dyDescent="0.15"/>
    <row r="1004" ht="15.75" customHeight="1" x14ac:dyDescent="0.15"/>
    <row r="1005" ht="15.75" customHeight="1" x14ac:dyDescent="0.15"/>
  </sheetData>
  <mergeCells count="4">
    <mergeCell ref="A3:B3"/>
    <mergeCell ref="A23:C23"/>
    <mergeCell ref="A33:C33"/>
    <mergeCell ref="A43:C43"/>
  </mergeCell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G1000"/>
  <sheetViews>
    <sheetView tabSelected="1" zoomScaleNormal="100" workbookViewId="0">
      <selection activeCell="B23" sqref="B23"/>
    </sheetView>
  </sheetViews>
  <sheetFormatPr baseColWidth="10" defaultColWidth="12.6640625" defaultRowHeight="15" customHeight="1" x14ac:dyDescent="0.15"/>
  <cols>
    <col min="1" max="1" width="17.33203125" customWidth="1"/>
    <col min="2" max="2" width="75.1640625" customWidth="1"/>
    <col min="3" max="3" width="30.33203125" bestFit="1" customWidth="1"/>
    <col min="4" max="4" width="21" bestFit="1" customWidth="1"/>
    <col min="5" max="5" width="27.1640625" bestFit="1" customWidth="1"/>
    <col min="6" max="6" width="21.1640625" bestFit="1" customWidth="1"/>
    <col min="7" max="7" width="34.6640625" customWidth="1"/>
  </cols>
  <sheetData>
    <row r="1" spans="1:7" ht="15.75" customHeight="1" x14ac:dyDescent="0.2">
      <c r="A1" s="16" t="s">
        <v>58</v>
      </c>
    </row>
    <row r="2" spans="1:7" ht="15.75" customHeight="1" x14ac:dyDescent="0.2">
      <c r="A2" s="25" t="s">
        <v>59</v>
      </c>
      <c r="B2" s="25" t="s">
        <v>60</v>
      </c>
      <c r="C2" s="25" t="s">
        <v>61</v>
      </c>
      <c r="D2" s="25" t="s">
        <v>62</v>
      </c>
      <c r="E2" s="25" t="s">
        <v>63</v>
      </c>
      <c r="F2" s="25" t="s">
        <v>64</v>
      </c>
      <c r="G2" s="25" t="s">
        <v>65</v>
      </c>
    </row>
    <row r="3" spans="1:7" ht="15.75" customHeight="1" x14ac:dyDescent="0.2">
      <c r="A3" s="26" t="s">
        <v>66</v>
      </c>
      <c r="B3" s="26" t="s">
        <v>67</v>
      </c>
      <c r="C3" s="34" t="s">
        <v>68</v>
      </c>
      <c r="D3" s="26" t="s">
        <v>69</v>
      </c>
      <c r="E3" s="26" t="s">
        <v>70</v>
      </c>
      <c r="F3" s="26" t="s">
        <v>71</v>
      </c>
      <c r="G3" s="27">
        <v>2448000</v>
      </c>
    </row>
    <row r="4" spans="1:7" ht="15.75" customHeight="1" x14ac:dyDescent="0.2">
      <c r="A4" s="26" t="s">
        <v>72</v>
      </c>
      <c r="B4" s="26" t="s">
        <v>73</v>
      </c>
      <c r="C4" s="34" t="s">
        <v>74</v>
      </c>
      <c r="D4" s="26" t="s">
        <v>75</v>
      </c>
      <c r="E4" s="26" t="s">
        <v>76</v>
      </c>
      <c r="F4" s="26" t="s">
        <v>77</v>
      </c>
      <c r="G4" s="27">
        <v>260000</v>
      </c>
    </row>
    <row r="5" spans="1:7" ht="15.75" customHeight="1" x14ac:dyDescent="0.2">
      <c r="A5" s="26" t="s">
        <v>78</v>
      </c>
      <c r="B5" s="26" t="s">
        <v>79</v>
      </c>
      <c r="C5" s="34">
        <v>45966</v>
      </c>
      <c r="D5" s="26" t="s">
        <v>75</v>
      </c>
      <c r="E5" s="26" t="s">
        <v>80</v>
      </c>
      <c r="F5" s="26" t="s">
        <v>77</v>
      </c>
      <c r="G5" s="27">
        <v>7005000</v>
      </c>
    </row>
    <row r="6" spans="1:7" ht="15.75" customHeight="1" x14ac:dyDescent="0.2">
      <c r="A6" s="26" t="s">
        <v>81</v>
      </c>
      <c r="B6" s="26" t="s">
        <v>82</v>
      </c>
      <c r="C6" s="34">
        <v>45025</v>
      </c>
      <c r="D6" s="26" t="s">
        <v>75</v>
      </c>
      <c r="E6" s="26" t="s">
        <v>80</v>
      </c>
      <c r="F6" s="26" t="s">
        <v>71</v>
      </c>
      <c r="G6" s="27">
        <v>2850000</v>
      </c>
    </row>
    <row r="7" spans="1:7" ht="15.75" customHeight="1" x14ac:dyDescent="0.2">
      <c r="A7" s="26" t="s">
        <v>83</v>
      </c>
      <c r="B7" s="26" t="s">
        <v>84</v>
      </c>
      <c r="C7" s="34" t="s">
        <v>85</v>
      </c>
      <c r="D7" s="26" t="s">
        <v>86</v>
      </c>
      <c r="E7" s="26" t="s">
        <v>76</v>
      </c>
      <c r="F7" s="26" t="s">
        <v>71</v>
      </c>
      <c r="G7" s="27">
        <v>159000</v>
      </c>
    </row>
    <row r="8" spans="1:7" ht="15.75" customHeight="1" x14ac:dyDescent="0.2">
      <c r="A8" s="26" t="s">
        <v>87</v>
      </c>
      <c r="B8" s="26" t="s">
        <v>88</v>
      </c>
      <c r="C8" s="34" t="s">
        <v>89</v>
      </c>
      <c r="D8" s="26" t="s">
        <v>69</v>
      </c>
      <c r="E8" s="26" t="s">
        <v>70</v>
      </c>
      <c r="F8" s="26" t="s">
        <v>77</v>
      </c>
      <c r="G8" s="27">
        <v>4477000</v>
      </c>
    </row>
    <row r="9" spans="1:7" ht="15.75" customHeight="1" x14ac:dyDescent="0.2">
      <c r="A9" s="26" t="s">
        <v>90</v>
      </c>
      <c r="B9" s="26" t="s">
        <v>91</v>
      </c>
      <c r="C9" s="34" t="s">
        <v>92</v>
      </c>
      <c r="D9" s="26" t="s">
        <v>69</v>
      </c>
      <c r="E9" s="26" t="s">
        <v>93</v>
      </c>
      <c r="F9" s="26" t="s">
        <v>77</v>
      </c>
      <c r="G9" s="27">
        <v>4779000</v>
      </c>
    </row>
    <row r="10" spans="1:7" ht="15.75" customHeight="1" x14ac:dyDescent="0.2">
      <c r="A10" s="26" t="s">
        <v>94</v>
      </c>
      <c r="B10" s="26" t="s">
        <v>95</v>
      </c>
      <c r="C10" s="34">
        <v>45485</v>
      </c>
      <c r="D10" s="26" t="s">
        <v>96</v>
      </c>
      <c r="E10" s="26" t="s">
        <v>97</v>
      </c>
      <c r="F10" s="26" t="s">
        <v>77</v>
      </c>
      <c r="G10" s="27">
        <v>800000</v>
      </c>
    </row>
    <row r="11" spans="1:7" ht="15.75" customHeight="1" x14ac:dyDescent="0.2">
      <c r="A11" s="26" t="s">
        <v>98</v>
      </c>
      <c r="B11" s="26" t="s">
        <v>99</v>
      </c>
      <c r="C11" s="34">
        <v>45390</v>
      </c>
      <c r="D11" s="26" t="s">
        <v>96</v>
      </c>
      <c r="E11" s="26" t="s">
        <v>76</v>
      </c>
      <c r="F11" s="26" t="s">
        <v>71</v>
      </c>
      <c r="G11" s="27">
        <v>108000</v>
      </c>
    </row>
    <row r="12" spans="1:7" ht="15.75" customHeight="1" x14ac:dyDescent="0.2">
      <c r="A12" s="26" t="s">
        <v>100</v>
      </c>
      <c r="B12" s="26" t="s">
        <v>101</v>
      </c>
      <c r="C12" s="34" t="s">
        <v>102</v>
      </c>
      <c r="D12" s="26" t="s">
        <v>96</v>
      </c>
      <c r="E12" s="26" t="s">
        <v>97</v>
      </c>
      <c r="F12" s="26" t="s">
        <v>77</v>
      </c>
      <c r="G12" s="27">
        <v>781000</v>
      </c>
    </row>
    <row r="13" spans="1:7" ht="15.75" customHeight="1" x14ac:dyDescent="0.2">
      <c r="A13" s="26" t="s">
        <v>103</v>
      </c>
      <c r="B13" s="26" t="s">
        <v>104</v>
      </c>
      <c r="C13" s="34">
        <v>45017</v>
      </c>
      <c r="D13" s="26" t="s">
        <v>75</v>
      </c>
      <c r="E13" s="26" t="s">
        <v>80</v>
      </c>
      <c r="F13" s="26" t="s">
        <v>77</v>
      </c>
      <c r="G13" s="27">
        <v>3845000</v>
      </c>
    </row>
    <row r="14" spans="1:7" ht="15.75" customHeight="1" x14ac:dyDescent="0.2">
      <c r="A14" s="26" t="s">
        <v>105</v>
      </c>
      <c r="B14" s="26" t="s">
        <v>106</v>
      </c>
      <c r="C14" s="34">
        <v>45752</v>
      </c>
      <c r="D14" s="26" t="s">
        <v>75</v>
      </c>
      <c r="E14" s="26" t="s">
        <v>80</v>
      </c>
      <c r="F14" s="26" t="s">
        <v>77</v>
      </c>
      <c r="G14" s="27">
        <v>2169000</v>
      </c>
    </row>
    <row r="15" spans="1:7" ht="15.75" customHeight="1" x14ac:dyDescent="0.2">
      <c r="A15" s="26" t="s">
        <v>107</v>
      </c>
      <c r="B15" s="26" t="s">
        <v>108</v>
      </c>
      <c r="C15" s="34" t="s">
        <v>109</v>
      </c>
      <c r="D15" s="26" t="s">
        <v>110</v>
      </c>
      <c r="E15" s="26" t="s">
        <v>111</v>
      </c>
      <c r="F15" s="26" t="s">
        <v>71</v>
      </c>
      <c r="G15" s="27">
        <v>12887000</v>
      </c>
    </row>
    <row r="16" spans="1:7" ht="15.75" customHeight="1" x14ac:dyDescent="0.2">
      <c r="A16" s="26" t="s">
        <v>112</v>
      </c>
      <c r="B16" s="26" t="s">
        <v>113</v>
      </c>
      <c r="C16" s="34" t="s">
        <v>114</v>
      </c>
      <c r="D16" s="26" t="s">
        <v>110</v>
      </c>
      <c r="E16" s="26" t="s">
        <v>97</v>
      </c>
      <c r="F16" s="26" t="s">
        <v>77</v>
      </c>
      <c r="G16" s="27">
        <v>652000</v>
      </c>
    </row>
    <row r="17" spans="1:7" ht="15.75" customHeight="1" x14ac:dyDescent="0.2">
      <c r="A17" s="26" t="s">
        <v>115</v>
      </c>
      <c r="B17" s="26" t="s">
        <v>116</v>
      </c>
      <c r="C17" s="34">
        <v>45997</v>
      </c>
      <c r="D17" s="26" t="s">
        <v>117</v>
      </c>
      <c r="E17" s="26" t="s">
        <v>76</v>
      </c>
      <c r="F17" s="26" t="s">
        <v>71</v>
      </c>
      <c r="G17" s="27">
        <v>194000</v>
      </c>
    </row>
    <row r="18" spans="1:7" ht="15.75" customHeight="1" x14ac:dyDescent="0.2">
      <c r="A18" s="26" t="s">
        <v>118</v>
      </c>
      <c r="B18" s="26" t="s">
        <v>119</v>
      </c>
      <c r="C18" s="34">
        <v>45337</v>
      </c>
      <c r="D18" s="26" t="s">
        <v>110</v>
      </c>
      <c r="E18" s="26" t="s">
        <v>93</v>
      </c>
      <c r="F18" s="26" t="s">
        <v>71</v>
      </c>
      <c r="G18" s="27">
        <v>4698000</v>
      </c>
    </row>
    <row r="19" spans="1:7" ht="15.75" customHeight="1" x14ac:dyDescent="0.2">
      <c r="A19" s="26" t="s">
        <v>120</v>
      </c>
      <c r="B19" s="26" t="s">
        <v>121</v>
      </c>
      <c r="C19" s="34" t="s">
        <v>122</v>
      </c>
      <c r="D19" s="26" t="s">
        <v>123</v>
      </c>
      <c r="E19" s="26" t="s">
        <v>70</v>
      </c>
      <c r="F19" s="26" t="s">
        <v>77</v>
      </c>
      <c r="G19" s="27">
        <v>3322000</v>
      </c>
    </row>
    <row r="20" spans="1:7" ht="15.75" customHeight="1" x14ac:dyDescent="0.2">
      <c r="A20" s="26" t="s">
        <v>124</v>
      </c>
      <c r="B20" s="26" t="s">
        <v>125</v>
      </c>
      <c r="C20" s="34" t="s">
        <v>126</v>
      </c>
      <c r="D20" s="26" t="s">
        <v>117</v>
      </c>
      <c r="E20" s="26" t="s">
        <v>80</v>
      </c>
      <c r="F20" s="26" t="s">
        <v>77</v>
      </c>
      <c r="G20" s="27">
        <v>5342000</v>
      </c>
    </row>
    <row r="21" spans="1:7" ht="15.75" customHeight="1" x14ac:dyDescent="0.2">
      <c r="A21" s="26" t="s">
        <v>127</v>
      </c>
      <c r="B21" s="26" t="s">
        <v>128</v>
      </c>
      <c r="C21" s="34">
        <v>45261</v>
      </c>
      <c r="D21" s="26" t="s">
        <v>75</v>
      </c>
      <c r="E21" s="26" t="s">
        <v>111</v>
      </c>
      <c r="F21" s="26" t="s">
        <v>77</v>
      </c>
      <c r="G21" s="27">
        <v>31173000</v>
      </c>
    </row>
    <row r="22" spans="1:7" ht="15.75" customHeight="1" x14ac:dyDescent="0.2">
      <c r="A22" s="26" t="s">
        <v>129</v>
      </c>
      <c r="B22" s="26" t="s">
        <v>130</v>
      </c>
      <c r="C22" s="34" t="s">
        <v>131</v>
      </c>
      <c r="D22" s="26" t="s">
        <v>110</v>
      </c>
      <c r="E22" s="26" t="s">
        <v>76</v>
      </c>
      <c r="F22" s="26" t="s">
        <v>77</v>
      </c>
      <c r="G22" s="27">
        <v>95000</v>
      </c>
    </row>
    <row r="23" spans="1:7" ht="15.75" customHeight="1" x14ac:dyDescent="0.2">
      <c r="A23" s="26" t="s">
        <v>132</v>
      </c>
      <c r="B23" s="26" t="s">
        <v>133</v>
      </c>
      <c r="C23" s="34" t="s">
        <v>134</v>
      </c>
      <c r="D23" s="26" t="s">
        <v>96</v>
      </c>
      <c r="E23" s="26" t="s">
        <v>93</v>
      </c>
      <c r="F23" s="26" t="s">
        <v>71</v>
      </c>
      <c r="G23" s="27">
        <v>2067000</v>
      </c>
    </row>
    <row r="24" spans="1:7" ht="15.75" customHeight="1" x14ac:dyDescent="0.2">
      <c r="A24" s="26" t="s">
        <v>135</v>
      </c>
      <c r="B24" s="26" t="s">
        <v>136</v>
      </c>
      <c r="C24" s="34">
        <v>44621</v>
      </c>
      <c r="D24" s="26" t="s">
        <v>86</v>
      </c>
      <c r="E24" s="26" t="s">
        <v>80</v>
      </c>
      <c r="F24" s="26" t="s">
        <v>71</v>
      </c>
      <c r="G24" s="27">
        <v>2802000</v>
      </c>
    </row>
    <row r="25" spans="1:7" ht="15.75" customHeight="1" x14ac:dyDescent="0.2">
      <c r="A25" s="26" t="s">
        <v>137</v>
      </c>
      <c r="B25" s="26" t="s">
        <v>138</v>
      </c>
      <c r="C25" s="34" t="s">
        <v>139</v>
      </c>
      <c r="D25" s="26" t="s">
        <v>96</v>
      </c>
      <c r="E25" s="26" t="s">
        <v>80</v>
      </c>
      <c r="F25" s="26" t="s">
        <v>77</v>
      </c>
      <c r="G25" s="27">
        <v>5299000</v>
      </c>
    </row>
    <row r="26" spans="1:7" ht="15.75" customHeight="1" x14ac:dyDescent="0.2">
      <c r="A26" s="26" t="s">
        <v>140</v>
      </c>
      <c r="B26" s="26" t="s">
        <v>141</v>
      </c>
      <c r="C26" s="34">
        <v>45390</v>
      </c>
      <c r="D26" s="26" t="s">
        <v>110</v>
      </c>
      <c r="E26" s="26" t="s">
        <v>70</v>
      </c>
      <c r="F26" s="26" t="s">
        <v>77</v>
      </c>
      <c r="G26" s="27">
        <v>3505000</v>
      </c>
    </row>
    <row r="27" spans="1:7" ht="15.75" customHeight="1" x14ac:dyDescent="0.2">
      <c r="A27" s="26" t="s">
        <v>142</v>
      </c>
      <c r="B27" s="26" t="s">
        <v>143</v>
      </c>
      <c r="C27" s="34">
        <v>45512</v>
      </c>
      <c r="D27" s="26" t="s">
        <v>123</v>
      </c>
      <c r="E27" s="26" t="s">
        <v>97</v>
      </c>
      <c r="F27" s="26" t="s">
        <v>71</v>
      </c>
      <c r="G27" s="27">
        <v>298000</v>
      </c>
    </row>
    <row r="28" spans="1:7" ht="15.75" customHeight="1" x14ac:dyDescent="0.2">
      <c r="A28" s="26" t="s">
        <v>144</v>
      </c>
      <c r="B28" s="26" t="s">
        <v>145</v>
      </c>
      <c r="C28" s="34" t="s">
        <v>146</v>
      </c>
      <c r="D28" s="26" t="s">
        <v>117</v>
      </c>
      <c r="E28" s="26" t="s">
        <v>76</v>
      </c>
      <c r="F28" s="26" t="s">
        <v>71</v>
      </c>
      <c r="G28" s="27">
        <v>104000</v>
      </c>
    </row>
    <row r="29" spans="1:7" ht="15.75" customHeight="1" x14ac:dyDescent="0.2">
      <c r="A29" s="26" t="s">
        <v>147</v>
      </c>
      <c r="B29" s="26" t="s">
        <v>148</v>
      </c>
      <c r="C29" s="34" t="s">
        <v>149</v>
      </c>
      <c r="D29" s="26" t="s">
        <v>96</v>
      </c>
      <c r="E29" s="26" t="s">
        <v>97</v>
      </c>
      <c r="F29" s="26" t="s">
        <v>71</v>
      </c>
      <c r="G29" s="27">
        <v>214000</v>
      </c>
    </row>
    <row r="30" spans="1:7" ht="15.75" customHeight="1" x14ac:dyDescent="0.2">
      <c r="A30" s="26" t="s">
        <v>150</v>
      </c>
      <c r="B30" s="26" t="s">
        <v>151</v>
      </c>
      <c r="C30" s="34">
        <v>44563</v>
      </c>
      <c r="D30" s="26" t="s">
        <v>96</v>
      </c>
      <c r="E30" s="26" t="s">
        <v>97</v>
      </c>
      <c r="F30" s="26" t="s">
        <v>77</v>
      </c>
      <c r="G30" s="27">
        <v>618000</v>
      </c>
    </row>
    <row r="31" spans="1:7" ht="15.75" customHeight="1" x14ac:dyDescent="0.2">
      <c r="A31" s="26" t="s">
        <v>152</v>
      </c>
      <c r="B31" s="26" t="s">
        <v>153</v>
      </c>
      <c r="C31" s="34">
        <v>45569</v>
      </c>
      <c r="D31" s="26" t="s">
        <v>117</v>
      </c>
      <c r="E31" s="26" t="s">
        <v>80</v>
      </c>
      <c r="F31" s="26" t="s">
        <v>71</v>
      </c>
      <c r="G31" s="27">
        <v>4522000</v>
      </c>
    </row>
    <row r="32" spans="1:7" ht="15.75" customHeight="1" x14ac:dyDescent="0.2">
      <c r="A32" s="26" t="s">
        <v>154</v>
      </c>
      <c r="B32" s="26" t="s">
        <v>155</v>
      </c>
      <c r="C32" s="34" t="s">
        <v>156</v>
      </c>
      <c r="D32" s="26" t="s">
        <v>117</v>
      </c>
      <c r="E32" s="26" t="s">
        <v>76</v>
      </c>
      <c r="F32" s="26" t="s">
        <v>77</v>
      </c>
      <c r="G32" s="27">
        <v>183000</v>
      </c>
    </row>
    <row r="33" spans="1:7" ht="15.75" customHeight="1" x14ac:dyDescent="0.2">
      <c r="A33" s="26" t="s">
        <v>157</v>
      </c>
      <c r="B33" s="26" t="s">
        <v>158</v>
      </c>
      <c r="C33" s="34" t="s">
        <v>159</v>
      </c>
      <c r="D33" s="26" t="s">
        <v>69</v>
      </c>
      <c r="E33" s="26" t="s">
        <v>80</v>
      </c>
      <c r="F33" s="26" t="s">
        <v>71</v>
      </c>
      <c r="G33" s="27">
        <v>3554000</v>
      </c>
    </row>
    <row r="34" spans="1:7" ht="15.75" customHeight="1" x14ac:dyDescent="0.2">
      <c r="A34" s="26" t="s">
        <v>160</v>
      </c>
      <c r="B34" s="26" t="s">
        <v>161</v>
      </c>
      <c r="C34" s="34">
        <v>45409</v>
      </c>
      <c r="D34" s="26" t="s">
        <v>69</v>
      </c>
      <c r="E34" s="26" t="s">
        <v>93</v>
      </c>
      <c r="F34" s="26" t="s">
        <v>77</v>
      </c>
      <c r="G34" s="27">
        <v>4375000</v>
      </c>
    </row>
    <row r="35" spans="1:7" ht="15.75" customHeight="1" x14ac:dyDescent="0.2">
      <c r="A35" s="26" t="s">
        <v>162</v>
      </c>
      <c r="B35" s="26" t="s">
        <v>163</v>
      </c>
      <c r="C35" s="34">
        <v>46002</v>
      </c>
      <c r="D35" s="26" t="s">
        <v>96</v>
      </c>
      <c r="E35" s="26" t="s">
        <v>97</v>
      </c>
      <c r="F35" s="26" t="s">
        <v>77</v>
      </c>
      <c r="G35" s="27">
        <v>675000</v>
      </c>
    </row>
    <row r="36" spans="1:7" ht="15.75" customHeight="1" x14ac:dyDescent="0.2">
      <c r="A36" s="26" t="s">
        <v>164</v>
      </c>
      <c r="B36" s="26" t="s">
        <v>165</v>
      </c>
      <c r="C36" s="34" t="s">
        <v>166</v>
      </c>
      <c r="D36" s="26" t="s">
        <v>123</v>
      </c>
      <c r="E36" s="26" t="s">
        <v>70</v>
      </c>
      <c r="F36" s="26" t="s">
        <v>71</v>
      </c>
      <c r="G36" s="27">
        <v>3133000</v>
      </c>
    </row>
    <row r="37" spans="1:7" ht="15.75" customHeight="1" x14ac:dyDescent="0.2">
      <c r="A37" s="26" t="s">
        <v>167</v>
      </c>
      <c r="B37" s="26" t="s">
        <v>168</v>
      </c>
      <c r="C37" s="34">
        <v>45696</v>
      </c>
      <c r="D37" s="26" t="s">
        <v>110</v>
      </c>
      <c r="E37" s="26" t="s">
        <v>111</v>
      </c>
      <c r="F37" s="26" t="s">
        <v>77</v>
      </c>
      <c r="G37" s="27">
        <v>30167000</v>
      </c>
    </row>
    <row r="38" spans="1:7" ht="15.75" customHeight="1" x14ac:dyDescent="0.2">
      <c r="A38" s="26" t="s">
        <v>169</v>
      </c>
      <c r="B38" s="26" t="s">
        <v>170</v>
      </c>
      <c r="C38" s="34">
        <v>45631</v>
      </c>
      <c r="D38" s="26" t="s">
        <v>110</v>
      </c>
      <c r="E38" s="26" t="s">
        <v>80</v>
      </c>
      <c r="F38" s="26" t="s">
        <v>77</v>
      </c>
      <c r="G38" s="27">
        <v>5134000</v>
      </c>
    </row>
    <row r="39" spans="1:7" ht="15.75" customHeight="1" x14ac:dyDescent="0.2">
      <c r="A39" s="26" t="s">
        <v>171</v>
      </c>
      <c r="B39" s="26" t="s">
        <v>172</v>
      </c>
      <c r="C39" s="34">
        <v>44683</v>
      </c>
      <c r="D39" s="26" t="s">
        <v>86</v>
      </c>
      <c r="E39" s="26" t="s">
        <v>111</v>
      </c>
      <c r="F39" s="26" t="s">
        <v>77</v>
      </c>
      <c r="G39" s="27">
        <v>23105000</v>
      </c>
    </row>
    <row r="40" spans="1:7" ht="15.75" customHeight="1" x14ac:dyDescent="0.2">
      <c r="A40" s="26" t="s">
        <v>173</v>
      </c>
      <c r="B40" s="26" t="s">
        <v>174</v>
      </c>
      <c r="C40" s="34" t="s">
        <v>175</v>
      </c>
      <c r="D40" s="26" t="s">
        <v>86</v>
      </c>
      <c r="E40" s="26" t="s">
        <v>93</v>
      </c>
      <c r="F40" s="26" t="s">
        <v>71</v>
      </c>
      <c r="G40" s="27">
        <v>2264000</v>
      </c>
    </row>
    <row r="41" spans="1:7" ht="15.75" customHeight="1" x14ac:dyDescent="0.2">
      <c r="A41" s="26" t="s">
        <v>176</v>
      </c>
      <c r="B41" s="26" t="s">
        <v>177</v>
      </c>
      <c r="C41" s="34">
        <v>45171</v>
      </c>
      <c r="D41" s="26" t="s">
        <v>96</v>
      </c>
      <c r="E41" s="26" t="s">
        <v>76</v>
      </c>
      <c r="F41" s="26" t="s">
        <v>71</v>
      </c>
      <c r="G41" s="27">
        <v>205000</v>
      </c>
    </row>
    <row r="42" spans="1:7" ht="15.75" customHeight="1" x14ac:dyDescent="0.2">
      <c r="A42" s="26" t="s">
        <v>178</v>
      </c>
      <c r="B42" s="26" t="s">
        <v>179</v>
      </c>
      <c r="C42" s="34" t="s">
        <v>180</v>
      </c>
      <c r="D42" s="26" t="s">
        <v>110</v>
      </c>
      <c r="E42" s="26" t="s">
        <v>80</v>
      </c>
      <c r="F42" s="26" t="s">
        <v>77</v>
      </c>
      <c r="G42" s="27">
        <v>4953000</v>
      </c>
    </row>
    <row r="43" spans="1:7" ht="15.75" customHeight="1" x14ac:dyDescent="0.2">
      <c r="A43" s="26" t="s">
        <v>181</v>
      </c>
      <c r="B43" s="26" t="s">
        <v>182</v>
      </c>
      <c r="C43" s="34" t="s">
        <v>183</v>
      </c>
      <c r="D43" s="26" t="s">
        <v>86</v>
      </c>
      <c r="E43" s="26" t="s">
        <v>93</v>
      </c>
      <c r="F43" s="26" t="s">
        <v>77</v>
      </c>
      <c r="G43" s="27">
        <v>3416000</v>
      </c>
    </row>
    <row r="44" spans="1:7" ht="15.75" customHeight="1" x14ac:dyDescent="0.2">
      <c r="A44" s="26" t="s">
        <v>184</v>
      </c>
      <c r="B44" s="26" t="s">
        <v>185</v>
      </c>
      <c r="C44" s="34">
        <v>45354</v>
      </c>
      <c r="D44" s="26" t="s">
        <v>123</v>
      </c>
      <c r="E44" s="26" t="s">
        <v>70</v>
      </c>
      <c r="F44" s="26" t="s">
        <v>71</v>
      </c>
      <c r="G44" s="27">
        <v>3515000</v>
      </c>
    </row>
    <row r="45" spans="1:7" ht="15.75" customHeight="1" x14ac:dyDescent="0.2">
      <c r="A45" s="26" t="s">
        <v>186</v>
      </c>
      <c r="B45" s="26" t="s">
        <v>187</v>
      </c>
      <c r="C45" s="34">
        <v>45786</v>
      </c>
      <c r="D45" s="26" t="s">
        <v>86</v>
      </c>
      <c r="E45" s="26" t="s">
        <v>70</v>
      </c>
      <c r="F45" s="26" t="s">
        <v>77</v>
      </c>
      <c r="G45" s="27">
        <v>1900000</v>
      </c>
    </row>
    <row r="46" spans="1:7" ht="15.75" customHeight="1" x14ac:dyDescent="0.2">
      <c r="A46" s="26" t="s">
        <v>188</v>
      </c>
      <c r="B46" s="26" t="s">
        <v>189</v>
      </c>
      <c r="C46" s="34" t="s">
        <v>190</v>
      </c>
      <c r="D46" s="26" t="s">
        <v>117</v>
      </c>
      <c r="E46" s="26" t="s">
        <v>76</v>
      </c>
      <c r="F46" s="26" t="s">
        <v>71</v>
      </c>
      <c r="G46" s="27">
        <v>186000</v>
      </c>
    </row>
    <row r="47" spans="1:7" ht="15.75" customHeight="1" x14ac:dyDescent="0.2">
      <c r="A47" s="26" t="s">
        <v>191</v>
      </c>
      <c r="B47" s="26" t="s">
        <v>192</v>
      </c>
      <c r="C47" s="34">
        <v>45965</v>
      </c>
      <c r="D47" s="26" t="s">
        <v>117</v>
      </c>
      <c r="E47" s="26" t="s">
        <v>93</v>
      </c>
      <c r="F47" s="26" t="s">
        <v>77</v>
      </c>
      <c r="G47" s="27">
        <v>4405000</v>
      </c>
    </row>
    <row r="48" spans="1:7" ht="15.75" customHeight="1" x14ac:dyDescent="0.2">
      <c r="A48" s="26" t="s">
        <v>193</v>
      </c>
      <c r="B48" s="26" t="s">
        <v>194</v>
      </c>
      <c r="C48" s="34" t="s">
        <v>195</v>
      </c>
      <c r="D48" s="26" t="s">
        <v>123</v>
      </c>
      <c r="E48" s="26" t="s">
        <v>70</v>
      </c>
      <c r="F48" s="26" t="s">
        <v>77</v>
      </c>
      <c r="G48" s="27">
        <v>5294000</v>
      </c>
    </row>
    <row r="49" spans="1:7" ht="15.75" customHeight="1" x14ac:dyDescent="0.2">
      <c r="A49" s="26" t="s">
        <v>196</v>
      </c>
      <c r="B49" s="26" t="s">
        <v>197</v>
      </c>
      <c r="C49" s="34" t="s">
        <v>198</v>
      </c>
      <c r="D49" s="26" t="s">
        <v>96</v>
      </c>
      <c r="E49" s="26" t="s">
        <v>97</v>
      </c>
      <c r="F49" s="26" t="s">
        <v>77</v>
      </c>
      <c r="G49" s="27">
        <v>832000</v>
      </c>
    </row>
    <row r="50" spans="1:7" ht="15.75" customHeight="1" x14ac:dyDescent="0.2">
      <c r="A50" s="26" t="s">
        <v>199</v>
      </c>
      <c r="B50" s="26" t="s">
        <v>200</v>
      </c>
      <c r="C50" s="34">
        <v>45972</v>
      </c>
      <c r="D50" s="26" t="s">
        <v>110</v>
      </c>
      <c r="E50" s="26" t="s">
        <v>111</v>
      </c>
      <c r="F50" s="26" t="s">
        <v>71</v>
      </c>
      <c r="G50" s="27">
        <v>13905000</v>
      </c>
    </row>
    <row r="51" spans="1:7" ht="15.75" customHeight="1" x14ac:dyDescent="0.2">
      <c r="A51" s="26" t="s">
        <v>201</v>
      </c>
      <c r="B51" s="26" t="s">
        <v>202</v>
      </c>
      <c r="C51" s="34" t="s">
        <v>203</v>
      </c>
      <c r="D51" s="26" t="s">
        <v>75</v>
      </c>
      <c r="E51" s="26" t="s">
        <v>76</v>
      </c>
      <c r="F51" s="26" t="s">
        <v>71</v>
      </c>
      <c r="G51" s="27">
        <v>154000</v>
      </c>
    </row>
    <row r="52" spans="1:7" ht="15.75" customHeight="1" x14ac:dyDescent="0.2">
      <c r="A52" s="26" t="s">
        <v>204</v>
      </c>
      <c r="B52" s="26" t="s">
        <v>205</v>
      </c>
      <c r="C52" s="34">
        <v>45418</v>
      </c>
      <c r="D52" s="26" t="s">
        <v>110</v>
      </c>
      <c r="E52" s="26" t="s">
        <v>111</v>
      </c>
      <c r="F52" s="26" t="s">
        <v>71</v>
      </c>
      <c r="G52" s="27">
        <v>15481000</v>
      </c>
    </row>
    <row r="53" spans="1:7" ht="15.75" customHeight="1" x14ac:dyDescent="0.2">
      <c r="A53" s="26" t="s">
        <v>206</v>
      </c>
      <c r="B53" s="26" t="s">
        <v>207</v>
      </c>
      <c r="C53" s="34">
        <v>45514</v>
      </c>
      <c r="D53" s="26" t="s">
        <v>117</v>
      </c>
      <c r="E53" s="26" t="s">
        <v>97</v>
      </c>
      <c r="F53" s="26" t="s">
        <v>77</v>
      </c>
      <c r="G53" s="27">
        <v>734000</v>
      </c>
    </row>
    <row r="54" spans="1:7" ht="15.75" customHeight="1" x14ac:dyDescent="0.2">
      <c r="A54" s="26" t="s">
        <v>208</v>
      </c>
      <c r="B54" s="26" t="s">
        <v>209</v>
      </c>
      <c r="C54" s="34" t="s">
        <v>210</v>
      </c>
      <c r="D54" s="26" t="s">
        <v>86</v>
      </c>
      <c r="E54" s="26" t="s">
        <v>80</v>
      </c>
      <c r="F54" s="26" t="s">
        <v>71</v>
      </c>
      <c r="G54" s="27">
        <v>3685000</v>
      </c>
    </row>
    <row r="55" spans="1:7" ht="15.75" customHeight="1" x14ac:dyDescent="0.2">
      <c r="A55" s="26" t="s">
        <v>211</v>
      </c>
      <c r="B55" s="26" t="s">
        <v>212</v>
      </c>
      <c r="C55" s="34" t="s">
        <v>213</v>
      </c>
      <c r="D55" s="26" t="s">
        <v>69</v>
      </c>
      <c r="E55" s="26" t="s">
        <v>70</v>
      </c>
      <c r="F55" s="26" t="s">
        <v>71</v>
      </c>
      <c r="G55" s="27">
        <v>1038000</v>
      </c>
    </row>
    <row r="56" spans="1:7" ht="15.75" customHeight="1" x14ac:dyDescent="0.2">
      <c r="A56" s="26" t="s">
        <v>214</v>
      </c>
      <c r="B56" s="26" t="s">
        <v>215</v>
      </c>
      <c r="C56" s="34" t="s">
        <v>216</v>
      </c>
      <c r="D56" s="26" t="s">
        <v>117</v>
      </c>
      <c r="E56" s="26" t="s">
        <v>76</v>
      </c>
      <c r="F56" s="26" t="s">
        <v>77</v>
      </c>
      <c r="G56" s="27">
        <v>122000</v>
      </c>
    </row>
    <row r="57" spans="1:7" ht="15.75" customHeight="1" x14ac:dyDescent="0.2">
      <c r="A57" s="26" t="s">
        <v>217</v>
      </c>
      <c r="B57" s="26" t="s">
        <v>218</v>
      </c>
      <c r="C57" s="34" t="s">
        <v>219</v>
      </c>
      <c r="D57" s="26" t="s">
        <v>86</v>
      </c>
      <c r="E57" s="26" t="s">
        <v>93</v>
      </c>
      <c r="F57" s="26" t="s">
        <v>71</v>
      </c>
      <c r="G57" s="27">
        <v>3071000</v>
      </c>
    </row>
    <row r="58" spans="1:7" ht="15.75" customHeight="1" x14ac:dyDescent="0.2">
      <c r="A58" s="26" t="s">
        <v>220</v>
      </c>
      <c r="B58" s="26" t="s">
        <v>221</v>
      </c>
      <c r="C58" s="34" t="s">
        <v>222</v>
      </c>
      <c r="D58" s="26" t="s">
        <v>123</v>
      </c>
      <c r="E58" s="26" t="s">
        <v>97</v>
      </c>
      <c r="F58" s="26" t="s">
        <v>71</v>
      </c>
      <c r="G58" s="27">
        <v>342000</v>
      </c>
    </row>
    <row r="59" spans="1:7" ht="15.75" customHeight="1" x14ac:dyDescent="0.2">
      <c r="A59" s="26" t="s">
        <v>223</v>
      </c>
      <c r="B59" s="26" t="s">
        <v>224</v>
      </c>
      <c r="C59" s="34" t="s">
        <v>225</v>
      </c>
      <c r="D59" s="26" t="s">
        <v>96</v>
      </c>
      <c r="E59" s="26" t="s">
        <v>80</v>
      </c>
      <c r="F59" s="26" t="s">
        <v>77</v>
      </c>
      <c r="G59" s="27">
        <v>6531000</v>
      </c>
    </row>
    <row r="60" spans="1:7" ht="15.75" customHeight="1" x14ac:dyDescent="0.2">
      <c r="A60" s="26" t="s">
        <v>226</v>
      </c>
      <c r="B60" s="26" t="s">
        <v>227</v>
      </c>
      <c r="C60" s="34">
        <v>45965</v>
      </c>
      <c r="D60" s="26" t="s">
        <v>123</v>
      </c>
      <c r="E60" s="26" t="s">
        <v>80</v>
      </c>
      <c r="F60" s="26" t="s">
        <v>77</v>
      </c>
      <c r="G60" s="27">
        <v>5865000</v>
      </c>
    </row>
    <row r="61" spans="1:7" ht="15.75" customHeight="1" x14ac:dyDescent="0.2">
      <c r="A61" s="26" t="s">
        <v>228</v>
      </c>
      <c r="B61" s="26" t="s">
        <v>229</v>
      </c>
      <c r="C61" s="34">
        <v>45970</v>
      </c>
      <c r="D61" s="26" t="s">
        <v>110</v>
      </c>
      <c r="E61" s="26" t="s">
        <v>80</v>
      </c>
      <c r="F61" s="26" t="s">
        <v>71</v>
      </c>
      <c r="G61" s="27">
        <v>2887000</v>
      </c>
    </row>
    <row r="62" spans="1:7" ht="15.75" customHeight="1" x14ac:dyDescent="0.2">
      <c r="A62" s="26" t="s">
        <v>230</v>
      </c>
      <c r="B62" s="26" t="s">
        <v>231</v>
      </c>
      <c r="C62" s="34" t="s">
        <v>232</v>
      </c>
      <c r="D62" s="26" t="s">
        <v>110</v>
      </c>
      <c r="E62" s="26" t="s">
        <v>111</v>
      </c>
      <c r="F62" s="26" t="s">
        <v>71</v>
      </c>
      <c r="G62" s="27">
        <v>16443000</v>
      </c>
    </row>
    <row r="63" spans="1:7" ht="15.75" customHeight="1" x14ac:dyDescent="0.2">
      <c r="A63" s="26" t="s">
        <v>233</v>
      </c>
      <c r="B63" s="26" t="s">
        <v>234</v>
      </c>
      <c r="C63" s="34" t="s">
        <v>235</v>
      </c>
      <c r="D63" s="26" t="s">
        <v>69</v>
      </c>
      <c r="E63" s="26" t="s">
        <v>70</v>
      </c>
      <c r="F63" s="26" t="s">
        <v>71</v>
      </c>
      <c r="G63" s="27">
        <v>1778000</v>
      </c>
    </row>
    <row r="64" spans="1:7" ht="15.75" customHeight="1" x14ac:dyDescent="0.2">
      <c r="A64" s="26" t="s">
        <v>236</v>
      </c>
      <c r="B64" s="26" t="s">
        <v>237</v>
      </c>
      <c r="C64" s="34">
        <v>45089</v>
      </c>
      <c r="D64" s="26" t="s">
        <v>86</v>
      </c>
      <c r="E64" s="26" t="s">
        <v>93</v>
      </c>
      <c r="F64" s="26" t="s">
        <v>71</v>
      </c>
      <c r="G64" s="27">
        <v>3923000</v>
      </c>
    </row>
    <row r="65" spans="1:7" ht="15.75" customHeight="1" x14ac:dyDescent="0.2">
      <c r="A65" s="26" t="s">
        <v>238</v>
      </c>
      <c r="B65" s="26" t="s">
        <v>239</v>
      </c>
      <c r="C65" s="34" t="s">
        <v>240</v>
      </c>
      <c r="D65" s="26" t="s">
        <v>86</v>
      </c>
      <c r="E65" s="26" t="s">
        <v>76</v>
      </c>
      <c r="F65" s="26" t="s">
        <v>71</v>
      </c>
      <c r="G65" s="27">
        <v>183000</v>
      </c>
    </row>
    <row r="66" spans="1:7" ht="15.75" customHeight="1" x14ac:dyDescent="0.2">
      <c r="A66" s="26" t="s">
        <v>241</v>
      </c>
      <c r="B66" s="26" t="s">
        <v>242</v>
      </c>
      <c r="C66" s="34">
        <v>46006</v>
      </c>
      <c r="D66" s="26" t="s">
        <v>75</v>
      </c>
      <c r="E66" s="26" t="s">
        <v>111</v>
      </c>
      <c r="F66" s="26" t="s">
        <v>77</v>
      </c>
      <c r="G66" s="27">
        <v>19501000</v>
      </c>
    </row>
    <row r="67" spans="1:7" ht="15.75" customHeight="1" x14ac:dyDescent="0.2">
      <c r="A67" s="26" t="s">
        <v>243</v>
      </c>
      <c r="B67" s="26" t="s">
        <v>244</v>
      </c>
      <c r="C67" s="34" t="s">
        <v>245</v>
      </c>
      <c r="D67" s="26" t="s">
        <v>110</v>
      </c>
      <c r="E67" s="26" t="s">
        <v>80</v>
      </c>
      <c r="F67" s="26" t="s">
        <v>77</v>
      </c>
      <c r="G67" s="27">
        <v>3276000</v>
      </c>
    </row>
    <row r="68" spans="1:7" ht="15.75" customHeight="1" x14ac:dyDescent="0.2">
      <c r="A68" s="26" t="s">
        <v>246</v>
      </c>
      <c r="B68" s="26" t="s">
        <v>247</v>
      </c>
      <c r="C68" s="34" t="s">
        <v>175</v>
      </c>
      <c r="D68" s="26" t="s">
        <v>69</v>
      </c>
      <c r="E68" s="26" t="s">
        <v>93</v>
      </c>
      <c r="F68" s="26" t="s">
        <v>71</v>
      </c>
      <c r="G68" s="27">
        <v>2168000</v>
      </c>
    </row>
    <row r="69" spans="1:7" ht="15.75" customHeight="1" x14ac:dyDescent="0.2">
      <c r="A69" s="26" t="s">
        <v>248</v>
      </c>
      <c r="B69" s="26" t="s">
        <v>249</v>
      </c>
      <c r="C69" s="34" t="s">
        <v>250</v>
      </c>
      <c r="D69" s="26" t="s">
        <v>117</v>
      </c>
      <c r="E69" s="26" t="s">
        <v>97</v>
      </c>
      <c r="F69" s="26" t="s">
        <v>71</v>
      </c>
      <c r="G69" s="27">
        <v>141000</v>
      </c>
    </row>
    <row r="70" spans="1:7" ht="15.75" customHeight="1" x14ac:dyDescent="0.2">
      <c r="A70" s="26" t="s">
        <v>251</v>
      </c>
      <c r="B70" s="26" t="s">
        <v>252</v>
      </c>
      <c r="C70" s="34" t="s">
        <v>253</v>
      </c>
      <c r="D70" s="26" t="s">
        <v>123</v>
      </c>
      <c r="E70" s="26" t="s">
        <v>70</v>
      </c>
      <c r="F70" s="26" t="s">
        <v>77</v>
      </c>
      <c r="G70" s="27">
        <v>3866000</v>
      </c>
    </row>
    <row r="71" spans="1:7" ht="15.75" customHeight="1" x14ac:dyDescent="0.2">
      <c r="A71" s="26" t="s">
        <v>254</v>
      </c>
      <c r="B71" s="26" t="s">
        <v>255</v>
      </c>
      <c r="C71" s="34">
        <v>44662</v>
      </c>
      <c r="D71" s="26" t="s">
        <v>117</v>
      </c>
      <c r="E71" s="26" t="s">
        <v>76</v>
      </c>
      <c r="F71" s="26" t="s">
        <v>77</v>
      </c>
      <c r="G71" s="27">
        <v>243000</v>
      </c>
    </row>
    <row r="72" spans="1:7" ht="15.75" customHeight="1" x14ac:dyDescent="0.2">
      <c r="A72" s="26" t="s">
        <v>256</v>
      </c>
      <c r="B72" s="26" t="s">
        <v>257</v>
      </c>
      <c r="C72" s="34">
        <v>44446</v>
      </c>
      <c r="D72" s="26" t="s">
        <v>69</v>
      </c>
      <c r="E72" s="26" t="s">
        <v>93</v>
      </c>
      <c r="F72" s="26" t="s">
        <v>77</v>
      </c>
      <c r="G72" s="27">
        <v>7357000</v>
      </c>
    </row>
    <row r="73" spans="1:7" ht="15.75" customHeight="1" x14ac:dyDescent="0.2">
      <c r="A73" s="26" t="s">
        <v>258</v>
      </c>
      <c r="B73" s="26" t="s">
        <v>259</v>
      </c>
      <c r="C73" s="34" t="s">
        <v>260</v>
      </c>
      <c r="D73" s="26" t="s">
        <v>96</v>
      </c>
      <c r="E73" s="26" t="s">
        <v>76</v>
      </c>
      <c r="F73" s="26" t="s">
        <v>71</v>
      </c>
      <c r="G73" s="27">
        <v>210000</v>
      </c>
    </row>
    <row r="74" spans="1:7" ht="15.75" customHeight="1" x14ac:dyDescent="0.2">
      <c r="A74" s="26" t="s">
        <v>261</v>
      </c>
      <c r="B74" s="26" t="s">
        <v>262</v>
      </c>
      <c r="C74" s="34" t="s">
        <v>263</v>
      </c>
      <c r="D74" s="26" t="s">
        <v>75</v>
      </c>
      <c r="E74" s="26" t="s">
        <v>76</v>
      </c>
      <c r="F74" s="26" t="s">
        <v>71</v>
      </c>
      <c r="G74" s="27">
        <v>90000</v>
      </c>
    </row>
    <row r="75" spans="1:7" ht="15.75" customHeight="1" x14ac:dyDescent="0.2">
      <c r="A75" s="26" t="s">
        <v>264</v>
      </c>
      <c r="B75" s="26" t="s">
        <v>265</v>
      </c>
      <c r="C75" s="34" t="s">
        <v>266</v>
      </c>
      <c r="D75" s="26" t="s">
        <v>69</v>
      </c>
      <c r="E75" s="26" t="s">
        <v>70</v>
      </c>
      <c r="F75" s="26" t="s">
        <v>71</v>
      </c>
      <c r="G75" s="27">
        <v>1621000</v>
      </c>
    </row>
    <row r="76" spans="1:7" ht="15.75" customHeight="1" x14ac:dyDescent="0.2">
      <c r="A76" s="26" t="s">
        <v>267</v>
      </c>
      <c r="B76" s="26" t="s">
        <v>268</v>
      </c>
      <c r="C76" s="34">
        <v>44721</v>
      </c>
      <c r="D76" s="26" t="s">
        <v>117</v>
      </c>
      <c r="E76" s="26" t="s">
        <v>93</v>
      </c>
      <c r="F76" s="26" t="s">
        <v>77</v>
      </c>
      <c r="G76" s="27">
        <v>4049000</v>
      </c>
    </row>
    <row r="77" spans="1:7" ht="15.75" customHeight="1" x14ac:dyDescent="0.2">
      <c r="A77" s="26" t="s">
        <v>269</v>
      </c>
      <c r="B77" s="26" t="s">
        <v>270</v>
      </c>
      <c r="C77" s="34" t="s">
        <v>271</v>
      </c>
      <c r="D77" s="26" t="s">
        <v>75</v>
      </c>
      <c r="E77" s="26" t="s">
        <v>80</v>
      </c>
      <c r="F77" s="26" t="s">
        <v>77</v>
      </c>
      <c r="G77" s="27">
        <v>5903000</v>
      </c>
    </row>
    <row r="78" spans="1:7" ht="15.75" customHeight="1" x14ac:dyDescent="0.2">
      <c r="A78" s="26" t="s">
        <v>272</v>
      </c>
      <c r="B78" s="26" t="s">
        <v>273</v>
      </c>
      <c r="C78" s="34">
        <v>45085</v>
      </c>
      <c r="D78" s="26" t="s">
        <v>86</v>
      </c>
      <c r="E78" s="26" t="s">
        <v>76</v>
      </c>
      <c r="F78" s="26" t="s">
        <v>71</v>
      </c>
      <c r="G78" s="27">
        <v>74000</v>
      </c>
    </row>
    <row r="79" spans="1:7" ht="15.75" customHeight="1" x14ac:dyDescent="0.2">
      <c r="A79" s="26" t="s">
        <v>274</v>
      </c>
      <c r="B79" s="26" t="s">
        <v>275</v>
      </c>
      <c r="C79" s="34">
        <v>45755</v>
      </c>
      <c r="D79" s="26" t="s">
        <v>123</v>
      </c>
      <c r="E79" s="26" t="s">
        <v>70</v>
      </c>
      <c r="F79" s="26" t="s">
        <v>71</v>
      </c>
      <c r="G79" s="27">
        <v>2635000</v>
      </c>
    </row>
    <row r="80" spans="1:7" ht="15.75" customHeight="1" x14ac:dyDescent="0.2">
      <c r="A80" s="26" t="s">
        <v>276</v>
      </c>
      <c r="B80" s="26" t="s">
        <v>277</v>
      </c>
      <c r="C80" s="34">
        <v>45976</v>
      </c>
      <c r="D80" s="26" t="s">
        <v>69</v>
      </c>
      <c r="E80" s="26" t="s">
        <v>76</v>
      </c>
      <c r="F80" s="26" t="s">
        <v>71</v>
      </c>
      <c r="G80" s="27">
        <v>175000</v>
      </c>
    </row>
    <row r="81" spans="1:7" ht="15.75" customHeight="1" x14ac:dyDescent="0.2">
      <c r="A81" s="26" t="s">
        <v>278</v>
      </c>
      <c r="B81" s="26" t="s">
        <v>279</v>
      </c>
      <c r="C81" s="34" t="s">
        <v>280</v>
      </c>
      <c r="D81" s="26" t="s">
        <v>69</v>
      </c>
      <c r="E81" s="26" t="s">
        <v>70</v>
      </c>
      <c r="F81" s="26" t="s">
        <v>77</v>
      </c>
      <c r="G81" s="27">
        <v>2112000</v>
      </c>
    </row>
    <row r="82" spans="1:7" ht="15.75" customHeight="1" x14ac:dyDescent="0.2">
      <c r="A82" s="26" t="s">
        <v>281</v>
      </c>
      <c r="B82" s="26" t="s">
        <v>282</v>
      </c>
      <c r="C82" s="34">
        <v>45200</v>
      </c>
      <c r="D82" s="26" t="s">
        <v>117</v>
      </c>
      <c r="E82" s="26" t="s">
        <v>76</v>
      </c>
      <c r="F82" s="26" t="s">
        <v>77</v>
      </c>
      <c r="G82" s="27">
        <v>144000</v>
      </c>
    </row>
    <row r="83" spans="1:7" ht="15.75" customHeight="1" x14ac:dyDescent="0.2">
      <c r="A83" s="26" t="s">
        <v>283</v>
      </c>
      <c r="B83" s="26" t="s">
        <v>284</v>
      </c>
      <c r="C83" s="34" t="s">
        <v>285</v>
      </c>
      <c r="D83" s="26" t="s">
        <v>123</v>
      </c>
      <c r="E83" s="26" t="s">
        <v>80</v>
      </c>
      <c r="F83" s="26" t="s">
        <v>71</v>
      </c>
      <c r="G83" s="27">
        <v>1587000</v>
      </c>
    </row>
    <row r="84" spans="1:7" ht="15.75" customHeight="1" x14ac:dyDescent="0.2">
      <c r="A84" s="26" t="s">
        <v>286</v>
      </c>
      <c r="B84" s="26" t="s">
        <v>287</v>
      </c>
      <c r="C84" s="34">
        <v>45509</v>
      </c>
      <c r="D84" s="26" t="s">
        <v>96</v>
      </c>
      <c r="E84" s="26" t="s">
        <v>76</v>
      </c>
      <c r="F84" s="26" t="s">
        <v>77</v>
      </c>
      <c r="G84" s="27">
        <v>136000</v>
      </c>
    </row>
    <row r="85" spans="1:7" ht="15.75" customHeight="1" x14ac:dyDescent="0.2">
      <c r="A85" s="26" t="s">
        <v>288</v>
      </c>
      <c r="B85" s="26" t="s">
        <v>289</v>
      </c>
      <c r="C85" s="34">
        <v>45089</v>
      </c>
      <c r="D85" s="26" t="s">
        <v>117</v>
      </c>
      <c r="E85" s="26" t="s">
        <v>76</v>
      </c>
      <c r="F85" s="26" t="s">
        <v>71</v>
      </c>
      <c r="G85" s="27">
        <v>168000</v>
      </c>
    </row>
    <row r="86" spans="1:7" ht="15.75" customHeight="1" x14ac:dyDescent="0.2">
      <c r="A86" s="26" t="s">
        <v>290</v>
      </c>
      <c r="B86" s="26" t="s">
        <v>291</v>
      </c>
      <c r="C86" s="34" t="s">
        <v>292</v>
      </c>
      <c r="D86" s="26" t="s">
        <v>96</v>
      </c>
      <c r="E86" s="26" t="s">
        <v>97</v>
      </c>
      <c r="F86" s="26" t="s">
        <v>77</v>
      </c>
      <c r="G86" s="27">
        <v>441000</v>
      </c>
    </row>
    <row r="87" spans="1:7" ht="15.75" customHeight="1" x14ac:dyDescent="0.2">
      <c r="A87" s="26" t="s">
        <v>293</v>
      </c>
      <c r="B87" s="26" t="s">
        <v>294</v>
      </c>
      <c r="C87" s="34">
        <v>45871</v>
      </c>
      <c r="D87" s="26" t="s">
        <v>69</v>
      </c>
      <c r="E87" s="26" t="s">
        <v>70</v>
      </c>
      <c r="F87" s="26" t="s">
        <v>71</v>
      </c>
      <c r="G87" s="27">
        <v>1990000</v>
      </c>
    </row>
    <row r="88" spans="1:7" ht="15.75" customHeight="1" x14ac:dyDescent="0.2">
      <c r="A88" s="26" t="s">
        <v>295</v>
      </c>
      <c r="B88" s="26" t="s">
        <v>296</v>
      </c>
      <c r="C88" s="34" t="s">
        <v>297</v>
      </c>
      <c r="D88" s="26" t="s">
        <v>123</v>
      </c>
      <c r="E88" s="26" t="s">
        <v>70</v>
      </c>
      <c r="F88" s="26" t="s">
        <v>71</v>
      </c>
      <c r="G88" s="27">
        <v>3819000</v>
      </c>
    </row>
    <row r="89" spans="1:7" ht="15.75" customHeight="1" x14ac:dyDescent="0.2">
      <c r="A89" s="26" t="s">
        <v>298</v>
      </c>
      <c r="B89" s="26" t="s">
        <v>299</v>
      </c>
      <c r="C89" s="34">
        <v>45788</v>
      </c>
      <c r="D89" s="26" t="s">
        <v>96</v>
      </c>
      <c r="E89" s="26" t="s">
        <v>97</v>
      </c>
      <c r="F89" s="26" t="s">
        <v>77</v>
      </c>
      <c r="G89" s="27">
        <v>452000</v>
      </c>
    </row>
    <row r="90" spans="1:7" ht="15.75" customHeight="1" x14ac:dyDescent="0.2">
      <c r="A90" s="26" t="s">
        <v>300</v>
      </c>
      <c r="B90" s="26" t="s">
        <v>301</v>
      </c>
      <c r="C90" s="34">
        <v>44630</v>
      </c>
      <c r="D90" s="26" t="s">
        <v>75</v>
      </c>
      <c r="E90" s="26" t="s">
        <v>70</v>
      </c>
      <c r="F90" s="26" t="s">
        <v>77</v>
      </c>
      <c r="G90" s="27">
        <v>4482000</v>
      </c>
    </row>
    <row r="91" spans="1:7" ht="15.75" customHeight="1" x14ac:dyDescent="0.2">
      <c r="A91" s="26" t="s">
        <v>302</v>
      </c>
      <c r="B91" s="26" t="s">
        <v>303</v>
      </c>
      <c r="C91" s="34">
        <v>45912</v>
      </c>
      <c r="D91" s="26" t="s">
        <v>110</v>
      </c>
      <c r="E91" s="26" t="s">
        <v>80</v>
      </c>
      <c r="F91" s="26" t="s">
        <v>77</v>
      </c>
      <c r="G91" s="27">
        <v>4324000</v>
      </c>
    </row>
    <row r="92" spans="1:7" ht="15.75" customHeight="1" x14ac:dyDescent="0.2">
      <c r="A92" s="26" t="s">
        <v>304</v>
      </c>
      <c r="B92" s="26" t="s">
        <v>305</v>
      </c>
      <c r="C92" s="34">
        <v>46003</v>
      </c>
      <c r="D92" s="26" t="s">
        <v>69</v>
      </c>
      <c r="E92" s="26" t="s">
        <v>97</v>
      </c>
      <c r="F92" s="26" t="s">
        <v>71</v>
      </c>
      <c r="G92" s="27">
        <v>187000</v>
      </c>
    </row>
    <row r="93" spans="1:7" ht="15.75" customHeight="1" x14ac:dyDescent="0.2">
      <c r="A93" s="26" t="s">
        <v>306</v>
      </c>
      <c r="B93" s="26" t="s">
        <v>307</v>
      </c>
      <c r="C93" s="34" t="s">
        <v>308</v>
      </c>
      <c r="D93" s="26" t="s">
        <v>96</v>
      </c>
      <c r="E93" s="26" t="s">
        <v>97</v>
      </c>
      <c r="F93" s="26" t="s">
        <v>71</v>
      </c>
      <c r="G93" s="27">
        <v>318000</v>
      </c>
    </row>
    <row r="94" spans="1:7" ht="15.75" customHeight="1" x14ac:dyDescent="0.2">
      <c r="A94" s="26" t="s">
        <v>309</v>
      </c>
      <c r="B94" s="26" t="s">
        <v>310</v>
      </c>
      <c r="C94" s="34" t="s">
        <v>311</v>
      </c>
      <c r="D94" s="26" t="s">
        <v>110</v>
      </c>
      <c r="E94" s="26" t="s">
        <v>76</v>
      </c>
      <c r="F94" s="26" t="s">
        <v>71</v>
      </c>
      <c r="G94" s="27">
        <v>55000</v>
      </c>
    </row>
    <row r="95" spans="1:7" ht="15.75" customHeight="1" x14ac:dyDescent="0.2">
      <c r="A95" s="26" t="s">
        <v>312</v>
      </c>
      <c r="B95" s="26" t="s">
        <v>313</v>
      </c>
      <c r="C95" s="34" t="s">
        <v>314</v>
      </c>
      <c r="D95" s="26" t="s">
        <v>69</v>
      </c>
      <c r="E95" s="26" t="s">
        <v>93</v>
      </c>
      <c r="F95" s="26" t="s">
        <v>77</v>
      </c>
      <c r="G95" s="27">
        <v>2235000</v>
      </c>
    </row>
    <row r="96" spans="1:7" ht="15.75" customHeight="1" x14ac:dyDescent="0.2">
      <c r="A96" s="26" t="s">
        <v>315</v>
      </c>
      <c r="B96" s="26" t="s">
        <v>316</v>
      </c>
      <c r="C96" s="34" t="s">
        <v>317</v>
      </c>
      <c r="D96" s="26" t="s">
        <v>110</v>
      </c>
      <c r="E96" s="26" t="s">
        <v>93</v>
      </c>
      <c r="F96" s="26" t="s">
        <v>71</v>
      </c>
      <c r="G96" s="27">
        <v>3592000</v>
      </c>
    </row>
    <row r="97" spans="1:7" ht="15.75" customHeight="1" x14ac:dyDescent="0.2">
      <c r="A97" s="26" t="s">
        <v>318</v>
      </c>
      <c r="B97" s="26" t="s">
        <v>319</v>
      </c>
      <c r="C97" s="34">
        <v>45659</v>
      </c>
      <c r="D97" s="26" t="s">
        <v>123</v>
      </c>
      <c r="E97" s="26" t="s">
        <v>70</v>
      </c>
      <c r="F97" s="26" t="s">
        <v>77</v>
      </c>
      <c r="G97" s="27">
        <v>4815000</v>
      </c>
    </row>
    <row r="98" spans="1:7" ht="15.75" customHeight="1" x14ac:dyDescent="0.2">
      <c r="A98" s="26" t="s">
        <v>320</v>
      </c>
      <c r="B98" s="26" t="s">
        <v>321</v>
      </c>
      <c r="C98" s="34" t="s">
        <v>322</v>
      </c>
      <c r="D98" s="26" t="s">
        <v>86</v>
      </c>
      <c r="E98" s="26" t="s">
        <v>80</v>
      </c>
      <c r="F98" s="26" t="s">
        <v>71</v>
      </c>
      <c r="G98" s="27">
        <v>2718000</v>
      </c>
    </row>
    <row r="99" spans="1:7" ht="15.75" customHeight="1" x14ac:dyDescent="0.2">
      <c r="A99" s="26" t="s">
        <v>323</v>
      </c>
      <c r="B99" s="26" t="s">
        <v>324</v>
      </c>
      <c r="C99" s="34">
        <v>44694</v>
      </c>
      <c r="D99" s="26" t="s">
        <v>117</v>
      </c>
      <c r="E99" s="26" t="s">
        <v>76</v>
      </c>
      <c r="F99" s="26" t="s">
        <v>77</v>
      </c>
      <c r="G99" s="27">
        <v>207000</v>
      </c>
    </row>
    <row r="100" spans="1:7" ht="15.75" customHeight="1" x14ac:dyDescent="0.2">
      <c r="A100" s="26" t="s">
        <v>325</v>
      </c>
      <c r="B100" s="26" t="s">
        <v>326</v>
      </c>
      <c r="C100" s="34" t="s">
        <v>327</v>
      </c>
      <c r="D100" s="26" t="s">
        <v>69</v>
      </c>
      <c r="E100" s="26" t="s">
        <v>76</v>
      </c>
      <c r="F100" s="26" t="s">
        <v>71</v>
      </c>
      <c r="G100" s="27">
        <v>164000</v>
      </c>
    </row>
    <row r="101" spans="1:7" ht="15.75" customHeight="1" x14ac:dyDescent="0.2">
      <c r="A101" s="26" t="s">
        <v>328</v>
      </c>
      <c r="B101" s="26" t="s">
        <v>329</v>
      </c>
      <c r="C101" s="34">
        <v>45050</v>
      </c>
      <c r="D101" s="26" t="s">
        <v>69</v>
      </c>
      <c r="E101" s="26" t="s">
        <v>80</v>
      </c>
      <c r="F101" s="26" t="s">
        <v>71</v>
      </c>
      <c r="G101" s="27">
        <v>2151000</v>
      </c>
    </row>
    <row r="102" spans="1:7" ht="15.75" customHeight="1" x14ac:dyDescent="0.2">
      <c r="A102" s="26" t="s">
        <v>330</v>
      </c>
      <c r="B102" s="26" t="s">
        <v>331</v>
      </c>
      <c r="C102" s="34">
        <v>45993</v>
      </c>
      <c r="D102" s="26" t="s">
        <v>110</v>
      </c>
      <c r="E102" s="26" t="s">
        <v>80</v>
      </c>
      <c r="F102" s="26" t="s">
        <v>71</v>
      </c>
      <c r="G102" s="27">
        <v>1971000</v>
      </c>
    </row>
    <row r="103" spans="1:7" ht="15.75" customHeight="1" x14ac:dyDescent="0.2">
      <c r="A103" s="26" t="s">
        <v>332</v>
      </c>
      <c r="B103" s="26" t="s">
        <v>333</v>
      </c>
      <c r="C103" s="34" t="s">
        <v>334</v>
      </c>
      <c r="D103" s="26" t="s">
        <v>86</v>
      </c>
      <c r="E103" s="26" t="s">
        <v>76</v>
      </c>
      <c r="F103" s="26" t="s">
        <v>71</v>
      </c>
      <c r="G103" s="27">
        <v>176000</v>
      </c>
    </row>
    <row r="104" spans="1:7" ht="15.75" customHeight="1" x14ac:dyDescent="0.2">
      <c r="A104" s="26" t="s">
        <v>335</v>
      </c>
      <c r="B104" s="26" t="s">
        <v>336</v>
      </c>
      <c r="C104" s="34" t="s">
        <v>337</v>
      </c>
      <c r="D104" s="26" t="s">
        <v>123</v>
      </c>
      <c r="E104" s="26" t="s">
        <v>97</v>
      </c>
      <c r="F104" s="26" t="s">
        <v>77</v>
      </c>
      <c r="G104" s="27">
        <v>811000</v>
      </c>
    </row>
    <row r="105" spans="1:7" ht="15.75" customHeight="1" x14ac:dyDescent="0.2">
      <c r="A105" s="26" t="s">
        <v>338</v>
      </c>
      <c r="B105" s="26" t="s">
        <v>339</v>
      </c>
      <c r="C105" s="34">
        <v>45881</v>
      </c>
      <c r="D105" s="26" t="s">
        <v>117</v>
      </c>
      <c r="E105" s="26" t="s">
        <v>76</v>
      </c>
      <c r="F105" s="26" t="s">
        <v>77</v>
      </c>
      <c r="G105" s="27">
        <v>74000</v>
      </c>
    </row>
    <row r="106" spans="1:7" ht="15.75" customHeight="1" x14ac:dyDescent="0.2">
      <c r="A106" s="26" t="s">
        <v>340</v>
      </c>
      <c r="B106" s="26" t="s">
        <v>341</v>
      </c>
      <c r="C106" s="34">
        <v>45698</v>
      </c>
      <c r="D106" s="26" t="s">
        <v>117</v>
      </c>
      <c r="E106" s="26" t="s">
        <v>76</v>
      </c>
      <c r="F106" s="26" t="s">
        <v>77</v>
      </c>
      <c r="G106" s="27">
        <v>73000</v>
      </c>
    </row>
    <row r="107" spans="1:7" ht="15.75" customHeight="1" x14ac:dyDescent="0.2">
      <c r="A107" s="26" t="s">
        <v>342</v>
      </c>
      <c r="B107" s="26" t="s">
        <v>343</v>
      </c>
      <c r="C107" s="34">
        <v>45481</v>
      </c>
      <c r="D107" s="26" t="s">
        <v>117</v>
      </c>
      <c r="E107" s="26" t="s">
        <v>97</v>
      </c>
      <c r="F107" s="26" t="s">
        <v>77</v>
      </c>
      <c r="G107" s="27">
        <v>722000</v>
      </c>
    </row>
    <row r="108" spans="1:7" ht="15.75" customHeight="1" x14ac:dyDescent="0.2">
      <c r="A108" s="26" t="s">
        <v>344</v>
      </c>
      <c r="B108" s="26" t="s">
        <v>345</v>
      </c>
      <c r="C108" s="34" t="s">
        <v>346</v>
      </c>
      <c r="D108" s="26" t="s">
        <v>75</v>
      </c>
      <c r="E108" s="26" t="s">
        <v>80</v>
      </c>
      <c r="F108" s="26" t="s">
        <v>71</v>
      </c>
      <c r="G108" s="27">
        <v>3010000</v>
      </c>
    </row>
    <row r="109" spans="1:7" ht="15.75" customHeight="1" x14ac:dyDescent="0.2">
      <c r="A109" s="26" t="s">
        <v>347</v>
      </c>
      <c r="B109" s="26" t="s">
        <v>348</v>
      </c>
      <c r="C109" s="34" t="s">
        <v>349</v>
      </c>
      <c r="D109" s="26" t="s">
        <v>96</v>
      </c>
      <c r="E109" s="26" t="s">
        <v>97</v>
      </c>
      <c r="F109" s="26" t="s">
        <v>77</v>
      </c>
      <c r="G109" s="27">
        <v>912000</v>
      </c>
    </row>
    <row r="110" spans="1:7" ht="15.75" customHeight="1" x14ac:dyDescent="0.2">
      <c r="A110" s="26" t="s">
        <v>350</v>
      </c>
      <c r="B110" s="26" t="s">
        <v>351</v>
      </c>
      <c r="C110" s="34">
        <v>45962</v>
      </c>
      <c r="D110" s="26" t="s">
        <v>75</v>
      </c>
      <c r="E110" s="26" t="s">
        <v>111</v>
      </c>
      <c r="F110" s="26" t="s">
        <v>77</v>
      </c>
      <c r="G110" s="27">
        <v>16454000</v>
      </c>
    </row>
    <row r="111" spans="1:7" ht="15.75" customHeight="1" x14ac:dyDescent="0.2">
      <c r="A111" s="26" t="s">
        <v>352</v>
      </c>
      <c r="B111" s="26" t="s">
        <v>353</v>
      </c>
      <c r="C111" s="34" t="s">
        <v>354</v>
      </c>
      <c r="D111" s="26" t="s">
        <v>69</v>
      </c>
      <c r="E111" s="26" t="s">
        <v>97</v>
      </c>
      <c r="F111" s="26" t="s">
        <v>77</v>
      </c>
      <c r="G111" s="27">
        <v>1190000</v>
      </c>
    </row>
    <row r="112" spans="1:7" ht="15.75" customHeight="1" x14ac:dyDescent="0.2">
      <c r="A112" s="26" t="s">
        <v>355</v>
      </c>
      <c r="B112" s="26" t="s">
        <v>356</v>
      </c>
      <c r="C112" s="34" t="s">
        <v>357</v>
      </c>
      <c r="D112" s="26" t="s">
        <v>123</v>
      </c>
      <c r="E112" s="26" t="s">
        <v>70</v>
      </c>
      <c r="F112" s="26" t="s">
        <v>77</v>
      </c>
      <c r="G112" s="27">
        <v>2803000</v>
      </c>
    </row>
    <row r="113" spans="1:7" ht="15.75" customHeight="1" x14ac:dyDescent="0.2">
      <c r="A113" s="26" t="s">
        <v>358</v>
      </c>
      <c r="B113" s="26" t="s">
        <v>359</v>
      </c>
      <c r="C113" s="34" t="s">
        <v>360</v>
      </c>
      <c r="D113" s="26" t="s">
        <v>110</v>
      </c>
      <c r="E113" s="26" t="s">
        <v>76</v>
      </c>
      <c r="F113" s="26" t="s">
        <v>71</v>
      </c>
      <c r="G113" s="27">
        <v>169000</v>
      </c>
    </row>
    <row r="114" spans="1:7" ht="15.75" customHeight="1" x14ac:dyDescent="0.2">
      <c r="A114" s="26" t="s">
        <v>361</v>
      </c>
      <c r="B114" s="26" t="s">
        <v>362</v>
      </c>
      <c r="C114" s="34">
        <v>45830</v>
      </c>
      <c r="D114" s="26" t="s">
        <v>117</v>
      </c>
      <c r="E114" s="26" t="s">
        <v>76</v>
      </c>
      <c r="F114" s="26" t="s">
        <v>71</v>
      </c>
      <c r="G114" s="27">
        <v>176000</v>
      </c>
    </row>
    <row r="115" spans="1:7" ht="15.75" customHeight="1" x14ac:dyDescent="0.2">
      <c r="A115" s="26" t="s">
        <v>363</v>
      </c>
      <c r="B115" s="26" t="s">
        <v>364</v>
      </c>
      <c r="C115" s="34">
        <v>45722</v>
      </c>
      <c r="D115" s="26" t="s">
        <v>117</v>
      </c>
      <c r="E115" s="26" t="s">
        <v>76</v>
      </c>
      <c r="F115" s="26" t="s">
        <v>77</v>
      </c>
      <c r="G115" s="27">
        <v>83000</v>
      </c>
    </row>
    <row r="116" spans="1:7" ht="15.75" customHeight="1" x14ac:dyDescent="0.2">
      <c r="A116" s="26" t="s">
        <v>365</v>
      </c>
      <c r="B116" s="26" t="s">
        <v>366</v>
      </c>
      <c r="C116" s="34">
        <v>45999</v>
      </c>
      <c r="D116" s="26" t="s">
        <v>110</v>
      </c>
      <c r="E116" s="26" t="s">
        <v>70</v>
      </c>
      <c r="F116" s="26" t="s">
        <v>71</v>
      </c>
      <c r="G116" s="27">
        <v>2079000</v>
      </c>
    </row>
    <row r="117" spans="1:7" ht="15.75" customHeight="1" x14ac:dyDescent="0.2">
      <c r="A117" s="26" t="s">
        <v>367</v>
      </c>
      <c r="B117" s="26" t="s">
        <v>368</v>
      </c>
      <c r="C117" s="34">
        <v>45569</v>
      </c>
      <c r="D117" s="26" t="s">
        <v>117</v>
      </c>
      <c r="E117" s="26" t="s">
        <v>76</v>
      </c>
      <c r="F117" s="26" t="s">
        <v>71</v>
      </c>
      <c r="G117" s="27">
        <v>97000</v>
      </c>
    </row>
    <row r="118" spans="1:7" ht="15.75" customHeight="1" x14ac:dyDescent="0.2">
      <c r="A118" s="26" t="s">
        <v>369</v>
      </c>
      <c r="B118" s="26" t="s">
        <v>370</v>
      </c>
      <c r="C118" s="34">
        <v>44717</v>
      </c>
      <c r="D118" s="26" t="s">
        <v>75</v>
      </c>
      <c r="E118" s="26" t="s">
        <v>70</v>
      </c>
      <c r="F118" s="26" t="s">
        <v>71</v>
      </c>
      <c r="G118" s="27">
        <v>1523000</v>
      </c>
    </row>
    <row r="119" spans="1:7" ht="15.75" customHeight="1" x14ac:dyDescent="0.2">
      <c r="A119" s="26" t="s">
        <v>371</v>
      </c>
      <c r="B119" s="26" t="s">
        <v>372</v>
      </c>
      <c r="C119" s="34">
        <v>44938</v>
      </c>
      <c r="D119" s="26" t="s">
        <v>123</v>
      </c>
      <c r="E119" s="26" t="s">
        <v>70</v>
      </c>
      <c r="F119" s="26" t="s">
        <v>71</v>
      </c>
      <c r="G119" s="27">
        <v>2646000</v>
      </c>
    </row>
    <row r="120" spans="1:7" ht="15.75" customHeight="1" x14ac:dyDescent="0.2">
      <c r="A120" s="26" t="s">
        <v>373</v>
      </c>
      <c r="B120" s="26" t="s">
        <v>374</v>
      </c>
      <c r="C120" s="34" t="s">
        <v>375</v>
      </c>
      <c r="D120" s="26" t="s">
        <v>75</v>
      </c>
      <c r="E120" s="26" t="s">
        <v>70</v>
      </c>
      <c r="F120" s="26" t="s">
        <v>71</v>
      </c>
      <c r="G120" s="27">
        <v>1348000</v>
      </c>
    </row>
    <row r="121" spans="1:7" ht="15.75" customHeight="1" x14ac:dyDescent="0.2">
      <c r="A121" s="26" t="s">
        <v>376</v>
      </c>
      <c r="B121" s="26" t="s">
        <v>377</v>
      </c>
      <c r="C121" s="34">
        <v>45724</v>
      </c>
      <c r="D121" s="26" t="s">
        <v>123</v>
      </c>
      <c r="E121" s="26" t="s">
        <v>80</v>
      </c>
      <c r="F121" s="26" t="s">
        <v>77</v>
      </c>
      <c r="G121" s="27">
        <v>6079000</v>
      </c>
    </row>
    <row r="122" spans="1:7" ht="15.75" customHeight="1" x14ac:dyDescent="0.2">
      <c r="A122" s="26" t="s">
        <v>378</v>
      </c>
      <c r="B122" s="26" t="s">
        <v>379</v>
      </c>
      <c r="C122" s="34" t="s">
        <v>380</v>
      </c>
      <c r="D122" s="26" t="s">
        <v>69</v>
      </c>
      <c r="E122" s="26" t="s">
        <v>70</v>
      </c>
      <c r="F122" s="26" t="s">
        <v>77</v>
      </c>
      <c r="G122" s="27">
        <v>2440000</v>
      </c>
    </row>
    <row r="123" spans="1:7" ht="15.75" customHeight="1" x14ac:dyDescent="0.2">
      <c r="A123" s="26" t="s">
        <v>381</v>
      </c>
      <c r="B123" s="26" t="s">
        <v>382</v>
      </c>
      <c r="C123" s="34">
        <v>45778</v>
      </c>
      <c r="D123" s="26" t="s">
        <v>96</v>
      </c>
      <c r="E123" s="26" t="s">
        <v>80</v>
      </c>
      <c r="F123" s="26" t="s">
        <v>71</v>
      </c>
      <c r="G123" s="27">
        <v>3005000</v>
      </c>
    </row>
    <row r="124" spans="1:7" ht="15.75" customHeight="1" x14ac:dyDescent="0.2">
      <c r="A124" s="26" t="s">
        <v>383</v>
      </c>
      <c r="B124" s="26" t="s">
        <v>384</v>
      </c>
      <c r="C124" s="34">
        <v>45627</v>
      </c>
      <c r="D124" s="26" t="s">
        <v>75</v>
      </c>
      <c r="E124" s="26" t="s">
        <v>76</v>
      </c>
      <c r="F124" s="26" t="s">
        <v>71</v>
      </c>
      <c r="G124" s="27">
        <v>130000</v>
      </c>
    </row>
    <row r="125" spans="1:7" ht="15.75" customHeight="1" x14ac:dyDescent="0.2">
      <c r="A125" s="26" t="s">
        <v>385</v>
      </c>
      <c r="B125" s="26" t="s">
        <v>386</v>
      </c>
      <c r="C125" s="34" t="s">
        <v>387</v>
      </c>
      <c r="D125" s="26" t="s">
        <v>117</v>
      </c>
      <c r="E125" s="26" t="s">
        <v>76</v>
      </c>
      <c r="F125" s="26" t="s">
        <v>71</v>
      </c>
      <c r="G125" s="27">
        <v>62000</v>
      </c>
    </row>
    <row r="126" spans="1:7" ht="15.75" customHeight="1" x14ac:dyDescent="0.2">
      <c r="A126" s="26" t="s">
        <v>388</v>
      </c>
      <c r="B126" s="26" t="s">
        <v>389</v>
      </c>
      <c r="C126" s="34" t="s">
        <v>380</v>
      </c>
      <c r="D126" s="26" t="s">
        <v>86</v>
      </c>
      <c r="E126" s="26" t="s">
        <v>93</v>
      </c>
      <c r="F126" s="26" t="s">
        <v>71</v>
      </c>
      <c r="G126" s="27">
        <v>3187000</v>
      </c>
    </row>
    <row r="127" spans="1:7" ht="15.75" customHeight="1" x14ac:dyDescent="0.2">
      <c r="A127" s="26" t="s">
        <v>390</v>
      </c>
      <c r="B127" s="26" t="s">
        <v>391</v>
      </c>
      <c r="C127" s="34" t="s">
        <v>392</v>
      </c>
      <c r="D127" s="26" t="s">
        <v>123</v>
      </c>
      <c r="E127" s="26" t="s">
        <v>70</v>
      </c>
      <c r="F127" s="26" t="s">
        <v>77</v>
      </c>
      <c r="G127" s="27">
        <v>1975000</v>
      </c>
    </row>
    <row r="128" spans="1:7" ht="15.75" customHeight="1" x14ac:dyDescent="0.2">
      <c r="A128" s="26" t="s">
        <v>393</v>
      </c>
      <c r="B128" s="26" t="s">
        <v>394</v>
      </c>
      <c r="C128" s="34">
        <v>45700</v>
      </c>
      <c r="D128" s="26" t="s">
        <v>69</v>
      </c>
      <c r="E128" s="26" t="s">
        <v>93</v>
      </c>
      <c r="F128" s="26" t="s">
        <v>71</v>
      </c>
      <c r="G128" s="27">
        <v>3756000</v>
      </c>
    </row>
    <row r="129" spans="1:7" ht="15.75" customHeight="1" x14ac:dyDescent="0.2">
      <c r="A129" s="26" t="s">
        <v>395</v>
      </c>
      <c r="B129" s="26" t="s">
        <v>396</v>
      </c>
      <c r="C129" s="34" t="s">
        <v>397</v>
      </c>
      <c r="D129" s="26" t="s">
        <v>110</v>
      </c>
      <c r="E129" s="26" t="s">
        <v>76</v>
      </c>
      <c r="F129" s="26" t="s">
        <v>71</v>
      </c>
      <c r="G129" s="27">
        <v>155000</v>
      </c>
    </row>
    <row r="130" spans="1:7" ht="15.75" customHeight="1" x14ac:dyDescent="0.2">
      <c r="A130" s="26" t="s">
        <v>398</v>
      </c>
      <c r="B130" s="26" t="s">
        <v>399</v>
      </c>
      <c r="C130" s="34" t="s">
        <v>400</v>
      </c>
      <c r="D130" s="26" t="s">
        <v>75</v>
      </c>
      <c r="E130" s="26" t="s">
        <v>70</v>
      </c>
      <c r="F130" s="26" t="s">
        <v>71</v>
      </c>
      <c r="G130" s="27">
        <v>2034000</v>
      </c>
    </row>
    <row r="131" spans="1:7" ht="15.75" customHeight="1" x14ac:dyDescent="0.2">
      <c r="A131" s="26" t="s">
        <v>401</v>
      </c>
      <c r="B131" s="26" t="s">
        <v>402</v>
      </c>
      <c r="C131" s="34" t="s">
        <v>139</v>
      </c>
      <c r="D131" s="26" t="s">
        <v>86</v>
      </c>
      <c r="E131" s="26" t="s">
        <v>93</v>
      </c>
      <c r="F131" s="26" t="s">
        <v>77</v>
      </c>
      <c r="G131" s="27">
        <v>3073000</v>
      </c>
    </row>
    <row r="132" spans="1:7" ht="15.75" customHeight="1" x14ac:dyDescent="0.2">
      <c r="A132" s="26" t="s">
        <v>403</v>
      </c>
      <c r="B132" s="26" t="s">
        <v>404</v>
      </c>
      <c r="C132" s="34" t="s">
        <v>349</v>
      </c>
      <c r="D132" s="26" t="s">
        <v>117</v>
      </c>
      <c r="E132" s="26" t="s">
        <v>76</v>
      </c>
      <c r="F132" s="26" t="s">
        <v>77</v>
      </c>
      <c r="G132" s="27">
        <v>153000</v>
      </c>
    </row>
    <row r="133" spans="1:7" ht="15.75" customHeight="1" x14ac:dyDescent="0.2">
      <c r="A133" s="26" t="s">
        <v>405</v>
      </c>
      <c r="B133" s="26" t="s">
        <v>406</v>
      </c>
      <c r="C133" s="34" t="s">
        <v>407</v>
      </c>
      <c r="D133" s="26" t="s">
        <v>96</v>
      </c>
      <c r="E133" s="26" t="s">
        <v>76</v>
      </c>
      <c r="F133" s="26" t="s">
        <v>77</v>
      </c>
      <c r="G133" s="27">
        <v>207000</v>
      </c>
    </row>
    <row r="134" spans="1:7" ht="15.75" customHeight="1" x14ac:dyDescent="0.2">
      <c r="A134" s="26" t="s">
        <v>408</v>
      </c>
      <c r="B134" s="26" t="s">
        <v>409</v>
      </c>
      <c r="C134" s="34">
        <v>45544</v>
      </c>
      <c r="D134" s="26" t="s">
        <v>86</v>
      </c>
      <c r="E134" s="26" t="s">
        <v>80</v>
      </c>
      <c r="F134" s="26" t="s">
        <v>77</v>
      </c>
      <c r="G134" s="27">
        <v>4857000</v>
      </c>
    </row>
    <row r="135" spans="1:7" ht="15.75" customHeight="1" x14ac:dyDescent="0.2">
      <c r="A135" s="26" t="s">
        <v>410</v>
      </c>
      <c r="B135" s="26" t="s">
        <v>411</v>
      </c>
      <c r="C135" s="34" t="s">
        <v>412</v>
      </c>
      <c r="D135" s="26" t="s">
        <v>117</v>
      </c>
      <c r="E135" s="26" t="s">
        <v>80</v>
      </c>
      <c r="F135" s="26" t="s">
        <v>77</v>
      </c>
      <c r="G135" s="27">
        <v>5626000</v>
      </c>
    </row>
    <row r="136" spans="1:7" ht="15.75" customHeight="1" x14ac:dyDescent="0.2">
      <c r="A136" s="26" t="s">
        <v>413</v>
      </c>
      <c r="B136" s="26" t="s">
        <v>414</v>
      </c>
      <c r="C136" s="34" t="s">
        <v>415</v>
      </c>
      <c r="D136" s="26" t="s">
        <v>123</v>
      </c>
      <c r="E136" s="26" t="s">
        <v>80</v>
      </c>
      <c r="F136" s="26" t="s">
        <v>71</v>
      </c>
      <c r="G136" s="27">
        <v>4408000</v>
      </c>
    </row>
    <row r="137" spans="1:7" ht="15.75" customHeight="1" x14ac:dyDescent="0.2">
      <c r="A137" s="26" t="s">
        <v>416</v>
      </c>
      <c r="B137" s="26" t="s">
        <v>417</v>
      </c>
      <c r="C137" s="34">
        <v>45513</v>
      </c>
      <c r="D137" s="26" t="s">
        <v>75</v>
      </c>
      <c r="E137" s="26" t="s">
        <v>76</v>
      </c>
      <c r="F137" s="26" t="s">
        <v>77</v>
      </c>
      <c r="G137" s="27">
        <v>289000</v>
      </c>
    </row>
    <row r="138" spans="1:7" ht="15.75" customHeight="1" x14ac:dyDescent="0.15"/>
    <row r="139" spans="1:7" ht="15.75" customHeight="1" x14ac:dyDescent="0.15"/>
    <row r="140" spans="1:7" ht="15.75" customHeight="1" x14ac:dyDescent="0.15"/>
    <row r="141" spans="1:7" ht="15.75" customHeight="1" x14ac:dyDescent="0.15"/>
    <row r="142" spans="1:7" ht="15.75" customHeight="1" x14ac:dyDescent="0.15"/>
    <row r="143" spans="1:7" ht="15.75" customHeight="1" x14ac:dyDescent="0.15"/>
    <row r="144" spans="1:7"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Y991"/>
  <sheetViews>
    <sheetView zoomScaleNormal="100" workbookViewId="0">
      <selection activeCell="F7" sqref="F7"/>
    </sheetView>
  </sheetViews>
  <sheetFormatPr baseColWidth="10" defaultColWidth="12.6640625" defaultRowHeight="15" customHeight="1" x14ac:dyDescent="0.15"/>
  <cols>
    <col min="1" max="1" width="48.1640625" customWidth="1"/>
    <col min="2" max="2" width="21.33203125" customWidth="1"/>
    <col min="3" max="3" width="16.5" customWidth="1"/>
    <col min="4" max="4" width="17.33203125" customWidth="1"/>
    <col min="5" max="5" width="25.5" customWidth="1"/>
  </cols>
  <sheetData>
    <row r="1" spans="1:25" ht="15.75" customHeight="1" x14ac:dyDescent="0.2">
      <c r="A1" s="16" t="s">
        <v>418</v>
      </c>
      <c r="B1" s="28"/>
      <c r="C1" s="28"/>
      <c r="D1" s="28"/>
      <c r="E1" s="28"/>
      <c r="F1" s="28"/>
      <c r="G1" s="28"/>
      <c r="H1" s="28"/>
      <c r="I1" s="28"/>
      <c r="J1" s="28"/>
      <c r="K1" s="28"/>
      <c r="L1" s="28"/>
      <c r="M1" s="28"/>
      <c r="N1" s="28"/>
      <c r="O1" s="28"/>
      <c r="P1" s="28"/>
      <c r="Q1" s="28"/>
      <c r="R1" s="28"/>
      <c r="S1" s="28"/>
      <c r="T1" s="28"/>
      <c r="U1" s="28"/>
      <c r="V1" s="28"/>
      <c r="W1" s="28"/>
      <c r="X1" s="28"/>
      <c r="Y1" s="28"/>
    </row>
    <row r="2" spans="1:25" ht="15.75" customHeight="1" x14ac:dyDescent="0.15">
      <c r="A2" s="1" t="s">
        <v>419</v>
      </c>
      <c r="B2" s="1"/>
      <c r="C2" s="28"/>
      <c r="D2" s="28"/>
      <c r="E2" s="28"/>
      <c r="F2" s="28"/>
      <c r="G2" s="28"/>
      <c r="H2" s="28"/>
      <c r="I2" s="28"/>
      <c r="J2" s="28"/>
      <c r="K2" s="28"/>
      <c r="L2" s="28"/>
      <c r="M2" s="28"/>
      <c r="N2" s="28"/>
      <c r="O2" s="28"/>
      <c r="P2" s="28"/>
      <c r="Q2" s="28"/>
      <c r="R2" s="28"/>
      <c r="S2" s="28"/>
      <c r="T2" s="28"/>
      <c r="U2" s="28"/>
      <c r="V2" s="28"/>
      <c r="W2" s="28"/>
      <c r="X2" s="28"/>
      <c r="Y2" s="28"/>
    </row>
    <row r="3" spans="1:25" ht="15.75" customHeight="1" x14ac:dyDescent="0.15">
      <c r="A3" s="28"/>
      <c r="B3" s="28"/>
      <c r="C3" s="28"/>
      <c r="D3" s="28"/>
      <c r="E3" s="28"/>
      <c r="F3" s="28"/>
      <c r="G3" s="28"/>
      <c r="H3" s="28"/>
      <c r="I3" s="28"/>
      <c r="J3" s="28"/>
      <c r="K3" s="28"/>
      <c r="L3" s="28"/>
      <c r="M3" s="28"/>
      <c r="N3" s="28"/>
      <c r="O3" s="28"/>
      <c r="P3" s="28"/>
      <c r="Q3" s="28"/>
      <c r="R3" s="28"/>
      <c r="S3" s="28"/>
      <c r="T3" s="28"/>
      <c r="U3" s="28"/>
      <c r="V3" s="28"/>
      <c r="W3" s="28"/>
      <c r="X3" s="28"/>
      <c r="Y3" s="28"/>
    </row>
    <row r="4" spans="1:25" ht="15.75" customHeight="1" x14ac:dyDescent="0.2">
      <c r="A4" s="29" t="s">
        <v>420</v>
      </c>
      <c r="B4" s="28"/>
      <c r="C4" s="28"/>
      <c r="D4" s="28"/>
      <c r="E4" s="28"/>
      <c r="F4" s="28"/>
      <c r="G4" s="28"/>
      <c r="H4" s="28"/>
      <c r="I4" s="28"/>
      <c r="J4" s="28"/>
      <c r="K4" s="28"/>
      <c r="L4" s="28"/>
      <c r="M4" s="28"/>
      <c r="N4" s="28"/>
      <c r="O4" s="28"/>
      <c r="P4" s="28"/>
      <c r="Q4" s="28"/>
      <c r="R4" s="28"/>
      <c r="S4" s="28"/>
      <c r="T4" s="28"/>
      <c r="U4" s="28"/>
      <c r="V4" s="28"/>
      <c r="W4" s="28"/>
      <c r="X4" s="28"/>
      <c r="Y4" s="28"/>
    </row>
    <row r="5" spans="1:25" ht="15.75" customHeight="1" x14ac:dyDescent="0.2">
      <c r="A5" s="30" t="s">
        <v>421</v>
      </c>
      <c r="B5" s="30" t="s">
        <v>422</v>
      </c>
      <c r="C5" s="30" t="s">
        <v>423</v>
      </c>
      <c r="D5" s="30" t="s">
        <v>424</v>
      </c>
      <c r="E5" s="30" t="s">
        <v>425</v>
      </c>
      <c r="F5" s="30" t="s">
        <v>426</v>
      </c>
      <c r="G5" s="28"/>
      <c r="H5" s="28"/>
      <c r="I5" s="28"/>
      <c r="J5" s="28"/>
      <c r="K5" s="28"/>
      <c r="L5" s="28"/>
      <c r="M5" s="28"/>
      <c r="N5" s="28"/>
      <c r="O5" s="28"/>
      <c r="P5" s="28"/>
      <c r="Q5" s="28"/>
      <c r="R5" s="28"/>
      <c r="S5" s="28"/>
      <c r="T5" s="28"/>
      <c r="U5" s="28"/>
      <c r="V5" s="28"/>
      <c r="W5" s="28"/>
      <c r="X5" s="28"/>
      <c r="Y5" s="28"/>
    </row>
    <row r="6" spans="1:25" ht="136" x14ac:dyDescent="0.15">
      <c r="A6" s="31" t="s">
        <v>427</v>
      </c>
      <c r="B6" s="32" t="s">
        <v>428</v>
      </c>
      <c r="C6" s="32" t="s">
        <v>429</v>
      </c>
      <c r="D6" s="32" t="s">
        <v>430</v>
      </c>
      <c r="E6" s="32" t="s">
        <v>431</v>
      </c>
      <c r="F6" s="37" t="s">
        <v>453</v>
      </c>
      <c r="G6" s="28"/>
      <c r="H6" s="28"/>
      <c r="I6" s="28"/>
      <c r="J6" s="28"/>
      <c r="K6" s="28"/>
      <c r="L6" s="28"/>
      <c r="M6" s="28"/>
      <c r="N6" s="28"/>
      <c r="O6" s="28"/>
      <c r="P6" s="28"/>
      <c r="Q6" s="28"/>
      <c r="R6" s="28"/>
      <c r="S6" s="28"/>
      <c r="T6" s="28"/>
      <c r="U6" s="28"/>
      <c r="V6" s="28"/>
      <c r="W6" s="28"/>
      <c r="X6" s="28"/>
      <c r="Y6" s="28"/>
    </row>
    <row r="7" spans="1:25" ht="102" x14ac:dyDescent="0.15">
      <c r="A7" s="31" t="s">
        <v>432</v>
      </c>
      <c r="B7" s="32" t="s">
        <v>433</v>
      </c>
      <c r="C7" s="32" t="s">
        <v>434</v>
      </c>
      <c r="D7" s="32" t="s">
        <v>435</v>
      </c>
      <c r="E7" s="32" t="s">
        <v>436</v>
      </c>
      <c r="F7" s="33" t="s">
        <v>437</v>
      </c>
      <c r="G7" s="28"/>
      <c r="H7" s="28"/>
      <c r="I7" s="28"/>
      <c r="J7" s="28"/>
      <c r="K7" s="28"/>
      <c r="L7" s="28"/>
      <c r="M7" s="28"/>
      <c r="N7" s="28"/>
      <c r="O7" s="28"/>
      <c r="P7" s="28"/>
      <c r="Q7" s="28"/>
      <c r="R7" s="28"/>
      <c r="S7" s="28"/>
      <c r="T7" s="28"/>
      <c r="U7" s="28"/>
      <c r="V7" s="28"/>
      <c r="W7" s="28"/>
      <c r="X7" s="28"/>
      <c r="Y7" s="28"/>
    </row>
    <row r="8" spans="1:25" ht="102" x14ac:dyDescent="0.15">
      <c r="A8" s="31" t="s">
        <v>438</v>
      </c>
      <c r="B8" s="32" t="s">
        <v>439</v>
      </c>
      <c r="C8" s="32" t="s">
        <v>440</v>
      </c>
      <c r="D8" s="32" t="s">
        <v>441</v>
      </c>
      <c r="E8" s="32" t="s">
        <v>442</v>
      </c>
      <c r="F8" s="37" t="s">
        <v>452</v>
      </c>
      <c r="G8" s="28"/>
      <c r="H8" s="28"/>
      <c r="I8" s="28"/>
      <c r="J8" s="28"/>
      <c r="K8" s="28"/>
      <c r="L8" s="28"/>
      <c r="M8" s="28"/>
      <c r="N8" s="28"/>
      <c r="O8" s="28"/>
      <c r="P8" s="28"/>
      <c r="Q8" s="28"/>
      <c r="R8" s="28"/>
      <c r="S8" s="28"/>
      <c r="T8" s="28"/>
      <c r="U8" s="28"/>
      <c r="V8" s="28"/>
      <c r="W8" s="28"/>
      <c r="X8" s="28"/>
      <c r="Y8" s="28"/>
    </row>
    <row r="9" spans="1:25" ht="85" x14ac:dyDescent="0.15">
      <c r="A9" s="31" t="s">
        <v>443</v>
      </c>
      <c r="B9" s="32" t="s">
        <v>444</v>
      </c>
      <c r="C9" s="32" t="s">
        <v>445</v>
      </c>
      <c r="D9" s="36" t="s">
        <v>446</v>
      </c>
      <c r="E9" s="32" t="s">
        <v>447</v>
      </c>
      <c r="F9" s="32" t="s">
        <v>448</v>
      </c>
      <c r="G9" s="28"/>
      <c r="H9" s="28"/>
      <c r="I9" s="28"/>
      <c r="J9" s="28"/>
      <c r="K9" s="28"/>
      <c r="L9" s="28"/>
      <c r="M9" s="28"/>
      <c r="N9" s="28"/>
      <c r="O9" s="28"/>
      <c r="P9" s="28"/>
      <c r="Q9" s="28"/>
      <c r="R9" s="28"/>
      <c r="S9" s="28"/>
      <c r="T9" s="28"/>
      <c r="U9" s="28"/>
      <c r="V9" s="28"/>
      <c r="W9" s="28"/>
      <c r="X9" s="28"/>
      <c r="Y9" s="28"/>
    </row>
    <row r="10" spans="1:25" ht="15.75" customHeight="1" x14ac:dyDescent="0.15">
      <c r="A10" s="1" t="s">
        <v>449</v>
      </c>
      <c r="B10" s="1"/>
      <c r="C10" s="1"/>
      <c r="D10" s="1"/>
      <c r="E10" s="28"/>
      <c r="F10" s="28"/>
      <c r="G10" s="28"/>
      <c r="H10" s="28"/>
      <c r="I10" s="28"/>
      <c r="J10" s="28"/>
      <c r="K10" s="28"/>
      <c r="L10" s="28"/>
      <c r="M10" s="28"/>
      <c r="N10" s="28"/>
      <c r="O10" s="28"/>
      <c r="P10" s="28"/>
      <c r="Q10" s="28"/>
      <c r="R10" s="28"/>
      <c r="S10" s="28"/>
      <c r="T10" s="28"/>
      <c r="U10" s="28"/>
      <c r="V10" s="28"/>
      <c r="W10" s="28"/>
      <c r="X10" s="28"/>
      <c r="Y10" s="28"/>
    </row>
    <row r="11" spans="1:25" ht="15.75" customHeight="1" x14ac:dyDescent="0.15">
      <c r="A11" s="28"/>
      <c r="B11" s="28"/>
      <c r="C11" s="28"/>
      <c r="D11" s="28"/>
      <c r="E11" s="28"/>
      <c r="F11" s="28"/>
      <c r="G11" s="28"/>
      <c r="H11" s="28"/>
      <c r="I11" s="28"/>
      <c r="J11" s="28"/>
      <c r="K11" s="28"/>
      <c r="L11" s="28"/>
      <c r="M11" s="28"/>
      <c r="N11" s="28"/>
      <c r="O11" s="28"/>
      <c r="P11" s="28"/>
      <c r="Q11" s="28"/>
      <c r="R11" s="28"/>
      <c r="S11" s="28"/>
      <c r="T11" s="28"/>
      <c r="U11" s="28"/>
      <c r="V11" s="28"/>
      <c r="W11" s="28"/>
      <c r="X11" s="28"/>
      <c r="Y11" s="28"/>
    </row>
    <row r="12" spans="1:25" ht="15.75" customHeight="1" x14ac:dyDescent="0.2">
      <c r="A12" s="29" t="s">
        <v>450</v>
      </c>
      <c r="B12" s="28"/>
      <c r="C12" s="28"/>
      <c r="D12" s="28"/>
      <c r="E12" s="28"/>
      <c r="F12" s="28"/>
      <c r="G12" s="28"/>
      <c r="H12" s="28"/>
      <c r="I12" s="28"/>
      <c r="J12" s="28"/>
      <c r="K12" s="28"/>
      <c r="L12" s="28"/>
      <c r="M12" s="28"/>
      <c r="N12" s="28"/>
      <c r="O12" s="28"/>
      <c r="P12" s="28"/>
      <c r="Q12" s="28"/>
      <c r="R12" s="28"/>
      <c r="S12" s="28"/>
      <c r="T12" s="28"/>
      <c r="U12" s="28"/>
      <c r="V12" s="28"/>
      <c r="W12" s="28"/>
      <c r="X12" s="28"/>
      <c r="Y12" s="28"/>
    </row>
    <row r="13" spans="1:25" ht="15.75" customHeight="1" x14ac:dyDescent="0.15">
      <c r="A13" s="28"/>
      <c r="B13" s="28"/>
      <c r="C13" s="28"/>
      <c r="D13" s="28"/>
      <c r="E13" s="28"/>
      <c r="F13" s="28"/>
      <c r="G13" s="28"/>
      <c r="H13" s="28"/>
      <c r="I13" s="28"/>
      <c r="J13" s="28"/>
      <c r="K13" s="28"/>
      <c r="L13" s="28"/>
      <c r="M13" s="28"/>
      <c r="N13" s="28"/>
      <c r="O13" s="28"/>
      <c r="P13" s="28"/>
      <c r="Q13" s="28"/>
      <c r="R13" s="28"/>
      <c r="S13" s="28"/>
      <c r="T13" s="28"/>
      <c r="U13" s="28"/>
      <c r="V13" s="28"/>
      <c r="W13" s="28"/>
      <c r="X13" s="28"/>
      <c r="Y13" s="28"/>
    </row>
    <row r="14" spans="1:25" ht="188" customHeight="1" x14ac:dyDescent="0.15">
      <c r="A14" s="35" t="s">
        <v>451</v>
      </c>
      <c r="B14" s="35"/>
      <c r="C14" s="35"/>
      <c r="D14" s="35"/>
      <c r="E14" s="28"/>
      <c r="F14" s="28"/>
      <c r="G14" s="28"/>
      <c r="H14" s="28"/>
      <c r="I14" s="28"/>
      <c r="J14" s="28"/>
      <c r="K14" s="28"/>
      <c r="L14" s="28"/>
      <c r="M14" s="28"/>
      <c r="N14" s="28"/>
      <c r="O14" s="28"/>
      <c r="P14" s="28"/>
      <c r="Q14" s="28"/>
      <c r="R14" s="28"/>
      <c r="S14" s="28"/>
      <c r="T14" s="28"/>
      <c r="U14" s="28"/>
      <c r="V14" s="28"/>
      <c r="W14" s="28"/>
      <c r="X14" s="28"/>
      <c r="Y14" s="28"/>
    </row>
    <row r="15" spans="1:25" ht="15.75" customHeight="1" x14ac:dyDescent="0.15">
      <c r="A15" s="28"/>
      <c r="B15" s="28"/>
      <c r="C15" s="28"/>
      <c r="D15" s="28"/>
      <c r="E15" s="28"/>
      <c r="F15" s="28"/>
      <c r="G15" s="28"/>
      <c r="H15" s="28"/>
      <c r="I15" s="28"/>
      <c r="J15" s="28"/>
      <c r="K15" s="28"/>
      <c r="L15" s="28"/>
      <c r="M15" s="28"/>
      <c r="N15" s="28"/>
      <c r="O15" s="28"/>
      <c r="P15" s="28"/>
      <c r="Q15" s="28"/>
      <c r="R15" s="28"/>
      <c r="S15" s="28"/>
      <c r="T15" s="28"/>
      <c r="U15" s="28"/>
      <c r="V15" s="28"/>
      <c r="W15" s="28"/>
      <c r="X15" s="28"/>
      <c r="Y15" s="28"/>
    </row>
    <row r="16" spans="1:25" ht="15.75" customHeight="1" x14ac:dyDescent="0.15">
      <c r="A16" s="28"/>
      <c r="B16" s="28"/>
      <c r="C16" s="28"/>
      <c r="D16" s="28"/>
      <c r="E16" s="28"/>
      <c r="F16" s="28"/>
      <c r="G16" s="28"/>
      <c r="H16" s="28"/>
      <c r="I16" s="28"/>
      <c r="J16" s="28"/>
      <c r="K16" s="28"/>
      <c r="L16" s="28"/>
      <c r="M16" s="28"/>
      <c r="N16" s="28"/>
      <c r="O16" s="28"/>
      <c r="P16" s="28"/>
      <c r="Q16" s="28"/>
      <c r="R16" s="28"/>
      <c r="S16" s="28"/>
      <c r="T16" s="28"/>
      <c r="U16" s="28"/>
      <c r="V16" s="28"/>
      <c r="W16" s="28"/>
      <c r="X16" s="28"/>
      <c r="Y16" s="28"/>
    </row>
    <row r="17" spans="1:25" ht="15.75" customHeight="1" x14ac:dyDescent="0.15">
      <c r="A17" s="28"/>
      <c r="B17" s="28"/>
      <c r="C17" s="28"/>
      <c r="D17" s="28"/>
      <c r="E17" s="28"/>
      <c r="F17" s="28"/>
      <c r="G17" s="28"/>
      <c r="H17" s="28"/>
      <c r="I17" s="28"/>
      <c r="J17" s="28"/>
      <c r="K17" s="28"/>
      <c r="L17" s="28"/>
      <c r="M17" s="28"/>
      <c r="N17" s="28"/>
      <c r="O17" s="28"/>
      <c r="P17" s="28"/>
      <c r="Q17" s="28"/>
      <c r="R17" s="28"/>
      <c r="S17" s="28"/>
      <c r="T17" s="28"/>
      <c r="U17" s="28"/>
      <c r="V17" s="28"/>
      <c r="W17" s="28"/>
      <c r="X17" s="28"/>
      <c r="Y17" s="28"/>
    </row>
    <row r="18" spans="1:25" ht="15.75" customHeight="1" x14ac:dyDescent="0.15">
      <c r="A18" s="28"/>
      <c r="B18" s="28"/>
      <c r="C18" s="28"/>
      <c r="D18" s="28"/>
      <c r="E18" s="28"/>
      <c r="F18" s="28"/>
      <c r="G18" s="28"/>
      <c r="H18" s="28"/>
      <c r="I18" s="28"/>
      <c r="J18" s="28"/>
      <c r="K18" s="28"/>
      <c r="L18" s="28"/>
      <c r="M18" s="28"/>
      <c r="N18" s="28"/>
      <c r="O18" s="28"/>
      <c r="P18" s="28"/>
      <c r="Q18" s="28"/>
      <c r="R18" s="28"/>
      <c r="S18" s="28"/>
      <c r="T18" s="28"/>
      <c r="U18" s="28"/>
      <c r="V18" s="28"/>
      <c r="W18" s="28"/>
      <c r="X18" s="28"/>
      <c r="Y18" s="28"/>
    </row>
    <row r="19" spans="1:25" ht="15.75" customHeight="1" x14ac:dyDescent="0.15">
      <c r="A19" s="28"/>
      <c r="B19" s="28"/>
      <c r="C19" s="28"/>
      <c r="D19" s="28"/>
      <c r="E19" s="28"/>
      <c r="F19" s="28"/>
      <c r="G19" s="28"/>
      <c r="H19" s="28"/>
      <c r="I19" s="28"/>
      <c r="J19" s="28"/>
      <c r="K19" s="28"/>
      <c r="L19" s="28"/>
      <c r="M19" s="28"/>
      <c r="N19" s="28"/>
      <c r="O19" s="28"/>
      <c r="P19" s="28"/>
      <c r="Q19" s="28"/>
      <c r="R19" s="28"/>
      <c r="S19" s="28"/>
      <c r="T19" s="28"/>
      <c r="U19" s="28"/>
      <c r="V19" s="28"/>
      <c r="W19" s="28"/>
      <c r="X19" s="28"/>
      <c r="Y19" s="28"/>
    </row>
    <row r="20" spans="1:25" ht="15.75" customHeight="1" x14ac:dyDescent="0.15">
      <c r="A20" s="28"/>
      <c r="B20" s="28"/>
      <c r="C20" s="28"/>
      <c r="D20" s="28"/>
      <c r="E20" s="28"/>
      <c r="F20" s="28"/>
      <c r="G20" s="28"/>
      <c r="H20" s="28"/>
      <c r="I20" s="28"/>
      <c r="J20" s="28"/>
      <c r="K20" s="28"/>
      <c r="L20" s="28"/>
      <c r="M20" s="28"/>
      <c r="N20" s="28"/>
      <c r="O20" s="28"/>
      <c r="P20" s="28"/>
      <c r="Q20" s="28"/>
      <c r="R20" s="28"/>
      <c r="S20" s="28"/>
      <c r="T20" s="28"/>
      <c r="U20" s="28"/>
      <c r="V20" s="28"/>
      <c r="W20" s="28"/>
      <c r="X20" s="28"/>
      <c r="Y20" s="28"/>
    </row>
    <row r="21" spans="1:25" ht="15.75" customHeight="1" x14ac:dyDescent="0.15">
      <c r="A21" s="28"/>
      <c r="B21" s="28"/>
      <c r="C21" s="28"/>
      <c r="D21" s="28"/>
      <c r="E21" s="28"/>
      <c r="F21" s="28"/>
      <c r="G21" s="28"/>
      <c r="H21" s="28"/>
      <c r="I21" s="28"/>
      <c r="J21" s="28"/>
      <c r="K21" s="28"/>
      <c r="L21" s="28"/>
      <c r="M21" s="28"/>
      <c r="N21" s="28"/>
      <c r="O21" s="28"/>
      <c r="P21" s="28"/>
      <c r="Q21" s="28"/>
      <c r="R21" s="28"/>
      <c r="S21" s="28"/>
      <c r="T21" s="28"/>
      <c r="U21" s="28"/>
      <c r="V21" s="28"/>
      <c r="W21" s="28"/>
      <c r="X21" s="28"/>
      <c r="Y21" s="28"/>
    </row>
    <row r="22" spans="1:25" ht="15.75" customHeight="1" x14ac:dyDescent="0.15">
      <c r="A22" s="28"/>
      <c r="B22" s="28"/>
      <c r="C22" s="28"/>
      <c r="D22" s="28"/>
      <c r="E22" s="28"/>
      <c r="F22" s="28"/>
      <c r="G22" s="28"/>
      <c r="H22" s="28"/>
      <c r="I22" s="28"/>
      <c r="J22" s="28"/>
      <c r="K22" s="28"/>
      <c r="L22" s="28"/>
      <c r="M22" s="28"/>
      <c r="N22" s="28"/>
      <c r="O22" s="28"/>
      <c r="P22" s="28"/>
      <c r="Q22" s="28"/>
      <c r="R22" s="28"/>
      <c r="S22" s="28"/>
      <c r="T22" s="28"/>
      <c r="U22" s="28"/>
      <c r="V22" s="28"/>
      <c r="W22" s="28"/>
      <c r="X22" s="28"/>
      <c r="Y22" s="28"/>
    </row>
    <row r="23" spans="1:25" ht="15.75" customHeight="1" x14ac:dyDescent="0.15">
      <c r="A23" s="28"/>
      <c r="B23" s="28"/>
      <c r="C23" s="28"/>
      <c r="D23" s="28"/>
      <c r="E23" s="28"/>
      <c r="F23" s="28"/>
      <c r="G23" s="28"/>
      <c r="H23" s="28"/>
      <c r="I23" s="28"/>
      <c r="J23" s="28"/>
      <c r="K23" s="28"/>
      <c r="L23" s="28"/>
      <c r="M23" s="28"/>
      <c r="N23" s="28"/>
      <c r="O23" s="28"/>
      <c r="P23" s="28"/>
      <c r="Q23" s="28"/>
      <c r="R23" s="28"/>
      <c r="S23" s="28"/>
      <c r="T23" s="28"/>
      <c r="U23" s="28"/>
      <c r="V23" s="28"/>
      <c r="W23" s="28"/>
      <c r="X23" s="28"/>
      <c r="Y23" s="28"/>
    </row>
    <row r="24" spans="1:25" ht="15.75" customHeight="1" x14ac:dyDescent="0.15">
      <c r="A24" s="28"/>
      <c r="B24" s="28"/>
      <c r="C24" s="28"/>
      <c r="D24" s="28"/>
      <c r="E24" s="28"/>
      <c r="F24" s="28"/>
      <c r="G24" s="28"/>
      <c r="H24" s="28"/>
      <c r="I24" s="28"/>
      <c r="J24" s="28"/>
      <c r="K24" s="28"/>
      <c r="L24" s="28"/>
      <c r="M24" s="28"/>
      <c r="N24" s="28"/>
      <c r="O24" s="28"/>
      <c r="P24" s="28"/>
      <c r="Q24" s="28"/>
      <c r="R24" s="28"/>
      <c r="S24" s="28"/>
      <c r="T24" s="28"/>
      <c r="U24" s="28"/>
      <c r="V24" s="28"/>
      <c r="W24" s="28"/>
      <c r="X24" s="28"/>
      <c r="Y24" s="28"/>
    </row>
    <row r="25" spans="1:25" ht="15.75" customHeight="1" x14ac:dyDescent="0.15">
      <c r="A25" s="28"/>
      <c r="B25" s="28"/>
      <c r="C25" s="28"/>
      <c r="D25" s="28"/>
      <c r="E25" s="28"/>
      <c r="F25" s="28"/>
      <c r="G25" s="28"/>
      <c r="H25" s="28"/>
      <c r="I25" s="28"/>
      <c r="J25" s="28"/>
      <c r="K25" s="28"/>
      <c r="L25" s="28"/>
      <c r="M25" s="28"/>
      <c r="N25" s="28"/>
      <c r="O25" s="28"/>
      <c r="P25" s="28"/>
      <c r="Q25" s="28"/>
      <c r="R25" s="28"/>
      <c r="S25" s="28"/>
      <c r="T25" s="28"/>
      <c r="U25" s="28"/>
      <c r="V25" s="28"/>
      <c r="W25" s="28"/>
      <c r="X25" s="28"/>
      <c r="Y25" s="28"/>
    </row>
    <row r="26" spans="1:25" ht="15.75" customHeight="1" x14ac:dyDescent="0.15">
      <c r="A26" s="28"/>
      <c r="B26" s="28"/>
      <c r="C26" s="28"/>
      <c r="D26" s="28"/>
      <c r="E26" s="28"/>
      <c r="F26" s="28"/>
      <c r="G26" s="28"/>
      <c r="H26" s="28"/>
      <c r="I26" s="28"/>
      <c r="J26" s="28"/>
      <c r="K26" s="28"/>
      <c r="L26" s="28"/>
      <c r="M26" s="28"/>
      <c r="N26" s="28"/>
      <c r="O26" s="28"/>
      <c r="P26" s="28"/>
      <c r="Q26" s="28"/>
      <c r="R26" s="28"/>
      <c r="S26" s="28"/>
      <c r="T26" s="28"/>
      <c r="U26" s="28"/>
      <c r="V26" s="28"/>
      <c r="W26" s="28"/>
      <c r="X26" s="28"/>
      <c r="Y26" s="28"/>
    </row>
    <row r="27" spans="1:25" ht="15.75" customHeight="1" x14ac:dyDescent="0.15">
      <c r="A27" s="28"/>
      <c r="B27" s="28"/>
      <c r="C27" s="28"/>
      <c r="D27" s="28"/>
      <c r="E27" s="28"/>
      <c r="F27" s="28"/>
      <c r="G27" s="28"/>
      <c r="H27" s="28"/>
      <c r="I27" s="28"/>
      <c r="J27" s="28"/>
      <c r="K27" s="28"/>
      <c r="L27" s="28"/>
      <c r="M27" s="28"/>
      <c r="N27" s="28"/>
      <c r="O27" s="28"/>
      <c r="P27" s="28"/>
      <c r="Q27" s="28"/>
      <c r="R27" s="28"/>
      <c r="S27" s="28"/>
      <c r="T27" s="28"/>
      <c r="U27" s="28"/>
      <c r="V27" s="28"/>
      <c r="W27" s="28"/>
      <c r="X27" s="28"/>
      <c r="Y27" s="28"/>
    </row>
    <row r="28" spans="1:25" ht="15.75" customHeight="1" x14ac:dyDescent="0.15">
      <c r="A28" s="28"/>
      <c r="B28" s="28"/>
      <c r="C28" s="28"/>
      <c r="D28" s="28"/>
      <c r="E28" s="28"/>
      <c r="F28" s="28"/>
      <c r="G28" s="28"/>
      <c r="H28" s="28"/>
      <c r="I28" s="28"/>
      <c r="J28" s="28"/>
      <c r="K28" s="28"/>
      <c r="L28" s="28"/>
      <c r="M28" s="28"/>
      <c r="N28" s="28"/>
      <c r="O28" s="28"/>
      <c r="P28" s="28"/>
      <c r="Q28" s="28"/>
      <c r="R28" s="28"/>
      <c r="S28" s="28"/>
      <c r="T28" s="28"/>
      <c r="U28" s="28"/>
      <c r="V28" s="28"/>
      <c r="W28" s="28"/>
      <c r="X28" s="28"/>
      <c r="Y28" s="28"/>
    </row>
    <row r="29" spans="1:25" ht="15.75" customHeight="1" x14ac:dyDescent="0.15">
      <c r="A29" s="28"/>
      <c r="B29" s="28"/>
      <c r="C29" s="28"/>
      <c r="D29" s="28"/>
      <c r="E29" s="28"/>
      <c r="F29" s="28"/>
      <c r="G29" s="28"/>
      <c r="H29" s="28"/>
      <c r="I29" s="28"/>
      <c r="J29" s="28"/>
      <c r="K29" s="28"/>
      <c r="L29" s="28"/>
      <c r="M29" s="28"/>
      <c r="N29" s="28"/>
      <c r="O29" s="28"/>
      <c r="P29" s="28"/>
      <c r="Q29" s="28"/>
      <c r="R29" s="28"/>
      <c r="S29" s="28"/>
      <c r="T29" s="28"/>
      <c r="U29" s="28"/>
      <c r="V29" s="28"/>
      <c r="W29" s="28"/>
      <c r="X29" s="28"/>
      <c r="Y29" s="28"/>
    </row>
    <row r="30" spans="1:25" ht="15.75" customHeight="1" x14ac:dyDescent="0.15">
      <c r="A30" s="28"/>
      <c r="B30" s="28"/>
      <c r="C30" s="28"/>
      <c r="D30" s="28"/>
      <c r="E30" s="28"/>
      <c r="F30" s="28"/>
      <c r="G30" s="28"/>
      <c r="H30" s="28"/>
      <c r="I30" s="28"/>
      <c r="J30" s="28"/>
      <c r="K30" s="28"/>
      <c r="L30" s="28"/>
      <c r="M30" s="28"/>
      <c r="N30" s="28"/>
      <c r="O30" s="28"/>
      <c r="P30" s="28"/>
      <c r="Q30" s="28"/>
      <c r="R30" s="28"/>
      <c r="S30" s="28"/>
      <c r="T30" s="28"/>
      <c r="U30" s="28"/>
      <c r="V30" s="28"/>
      <c r="W30" s="28"/>
      <c r="X30" s="28"/>
      <c r="Y30" s="28"/>
    </row>
    <row r="31" spans="1:25" ht="15.75" customHeight="1" x14ac:dyDescent="0.15">
      <c r="A31" s="28"/>
      <c r="B31" s="28"/>
      <c r="C31" s="28"/>
      <c r="D31" s="28"/>
      <c r="E31" s="28"/>
      <c r="F31" s="28"/>
      <c r="G31" s="28"/>
      <c r="H31" s="28"/>
      <c r="I31" s="28"/>
      <c r="J31" s="28"/>
      <c r="K31" s="28"/>
      <c r="L31" s="28"/>
      <c r="M31" s="28"/>
      <c r="N31" s="28"/>
      <c r="O31" s="28"/>
      <c r="P31" s="28"/>
      <c r="Q31" s="28"/>
      <c r="R31" s="28"/>
      <c r="S31" s="28"/>
      <c r="T31" s="28"/>
      <c r="U31" s="28"/>
      <c r="V31" s="28"/>
      <c r="W31" s="28"/>
      <c r="X31" s="28"/>
      <c r="Y31" s="28"/>
    </row>
    <row r="32" spans="1:25" ht="15.75" customHeight="1" x14ac:dyDescent="0.15">
      <c r="A32" s="28"/>
      <c r="B32" s="28"/>
      <c r="C32" s="28"/>
      <c r="D32" s="28"/>
      <c r="E32" s="28"/>
      <c r="F32" s="28"/>
      <c r="G32" s="28"/>
      <c r="H32" s="28"/>
      <c r="I32" s="28"/>
      <c r="J32" s="28"/>
      <c r="K32" s="28"/>
      <c r="L32" s="28"/>
      <c r="M32" s="28"/>
      <c r="N32" s="28"/>
      <c r="O32" s="28"/>
      <c r="P32" s="28"/>
      <c r="Q32" s="28"/>
      <c r="R32" s="28"/>
      <c r="S32" s="28"/>
      <c r="T32" s="28"/>
      <c r="U32" s="28"/>
      <c r="V32" s="28"/>
      <c r="W32" s="28"/>
      <c r="X32" s="28"/>
      <c r="Y32" s="28"/>
    </row>
    <row r="33" spans="1:25" ht="15.75" customHeight="1" x14ac:dyDescent="0.15">
      <c r="A33" s="28"/>
      <c r="B33" s="28"/>
      <c r="C33" s="28"/>
      <c r="D33" s="28"/>
      <c r="E33" s="28"/>
      <c r="F33" s="28"/>
      <c r="G33" s="28"/>
      <c r="H33" s="28"/>
      <c r="I33" s="28"/>
      <c r="J33" s="28"/>
      <c r="K33" s="28"/>
      <c r="L33" s="28"/>
      <c r="M33" s="28"/>
      <c r="N33" s="28"/>
      <c r="O33" s="28"/>
      <c r="P33" s="28"/>
      <c r="Q33" s="28"/>
      <c r="R33" s="28"/>
      <c r="S33" s="28"/>
      <c r="T33" s="28"/>
      <c r="U33" s="28"/>
      <c r="V33" s="28"/>
      <c r="W33" s="28"/>
      <c r="X33" s="28"/>
      <c r="Y33" s="28"/>
    </row>
    <row r="34" spans="1:25" ht="15.75" customHeight="1" x14ac:dyDescent="0.15">
      <c r="A34" s="28"/>
      <c r="B34" s="28"/>
      <c r="C34" s="28"/>
      <c r="D34" s="28"/>
      <c r="E34" s="28"/>
      <c r="F34" s="28"/>
      <c r="G34" s="28"/>
      <c r="H34" s="28"/>
      <c r="I34" s="28"/>
      <c r="J34" s="28"/>
      <c r="K34" s="28"/>
      <c r="L34" s="28"/>
      <c r="M34" s="28"/>
      <c r="N34" s="28"/>
      <c r="O34" s="28"/>
      <c r="P34" s="28"/>
      <c r="Q34" s="28"/>
      <c r="R34" s="28"/>
      <c r="S34" s="28"/>
      <c r="T34" s="28"/>
      <c r="U34" s="28"/>
      <c r="V34" s="28"/>
      <c r="W34" s="28"/>
      <c r="X34" s="28"/>
      <c r="Y34" s="28"/>
    </row>
    <row r="35" spans="1:25" ht="15.75" customHeight="1" x14ac:dyDescent="0.15">
      <c r="A35" s="28"/>
      <c r="B35" s="28"/>
      <c r="C35" s="28"/>
      <c r="D35" s="28"/>
      <c r="E35" s="28"/>
      <c r="F35" s="28"/>
      <c r="G35" s="28"/>
      <c r="H35" s="28"/>
      <c r="I35" s="28"/>
      <c r="J35" s="28"/>
      <c r="K35" s="28"/>
      <c r="L35" s="28"/>
      <c r="M35" s="28"/>
      <c r="N35" s="28"/>
      <c r="O35" s="28"/>
      <c r="P35" s="28"/>
      <c r="Q35" s="28"/>
      <c r="R35" s="28"/>
      <c r="S35" s="28"/>
      <c r="T35" s="28"/>
      <c r="U35" s="28"/>
      <c r="V35" s="28"/>
      <c r="W35" s="28"/>
      <c r="X35" s="28"/>
      <c r="Y35" s="28"/>
    </row>
    <row r="36" spans="1:25" ht="15.75" customHeight="1" x14ac:dyDescent="0.15">
      <c r="A36" s="28"/>
      <c r="B36" s="28"/>
      <c r="C36" s="28"/>
      <c r="D36" s="28"/>
      <c r="E36" s="28"/>
      <c r="F36" s="28"/>
      <c r="G36" s="28"/>
      <c r="H36" s="28"/>
      <c r="I36" s="28"/>
      <c r="J36" s="28"/>
      <c r="K36" s="28"/>
      <c r="L36" s="28"/>
      <c r="M36" s="28"/>
      <c r="N36" s="28"/>
      <c r="O36" s="28"/>
      <c r="P36" s="28"/>
      <c r="Q36" s="28"/>
      <c r="R36" s="28"/>
      <c r="S36" s="28"/>
      <c r="T36" s="28"/>
      <c r="U36" s="28"/>
      <c r="V36" s="28"/>
      <c r="W36" s="28"/>
      <c r="X36" s="28"/>
      <c r="Y36" s="28"/>
    </row>
    <row r="37" spans="1:25" ht="15.75" customHeight="1" x14ac:dyDescent="0.15">
      <c r="A37" s="28"/>
      <c r="B37" s="28"/>
      <c r="C37" s="28"/>
      <c r="D37" s="28"/>
      <c r="E37" s="28"/>
      <c r="F37" s="28"/>
      <c r="G37" s="28"/>
      <c r="H37" s="28"/>
      <c r="I37" s="28"/>
      <c r="J37" s="28"/>
      <c r="K37" s="28"/>
      <c r="L37" s="28"/>
      <c r="M37" s="28"/>
      <c r="N37" s="28"/>
      <c r="O37" s="28"/>
      <c r="P37" s="28"/>
      <c r="Q37" s="28"/>
      <c r="R37" s="28"/>
      <c r="S37" s="28"/>
      <c r="T37" s="28"/>
      <c r="U37" s="28"/>
      <c r="V37" s="28"/>
      <c r="W37" s="28"/>
      <c r="X37" s="28"/>
      <c r="Y37" s="28"/>
    </row>
    <row r="38" spans="1:25" ht="15.75" customHeight="1" x14ac:dyDescent="0.15">
      <c r="A38" s="28"/>
      <c r="B38" s="28"/>
      <c r="C38" s="28"/>
      <c r="D38" s="28"/>
      <c r="E38" s="28"/>
      <c r="F38" s="28"/>
      <c r="G38" s="28"/>
      <c r="H38" s="28"/>
      <c r="I38" s="28"/>
      <c r="J38" s="28"/>
      <c r="K38" s="28"/>
      <c r="L38" s="28"/>
      <c r="M38" s="28"/>
      <c r="N38" s="28"/>
      <c r="O38" s="28"/>
      <c r="P38" s="28"/>
      <c r="Q38" s="28"/>
      <c r="R38" s="28"/>
      <c r="S38" s="28"/>
      <c r="T38" s="28"/>
      <c r="U38" s="28"/>
      <c r="V38" s="28"/>
      <c r="W38" s="28"/>
      <c r="X38" s="28"/>
      <c r="Y38" s="28"/>
    </row>
    <row r="39" spans="1:25" ht="15.75" customHeight="1" x14ac:dyDescent="0.15">
      <c r="A39" s="28"/>
      <c r="B39" s="28"/>
      <c r="C39" s="28"/>
      <c r="D39" s="28"/>
      <c r="E39" s="28"/>
      <c r="F39" s="28"/>
      <c r="G39" s="28"/>
      <c r="H39" s="28"/>
      <c r="I39" s="28"/>
      <c r="J39" s="28"/>
      <c r="K39" s="28"/>
      <c r="L39" s="28"/>
      <c r="M39" s="28"/>
      <c r="N39" s="28"/>
      <c r="O39" s="28"/>
      <c r="P39" s="28"/>
      <c r="Q39" s="28"/>
      <c r="R39" s="28"/>
      <c r="S39" s="28"/>
      <c r="T39" s="28"/>
      <c r="U39" s="28"/>
      <c r="V39" s="28"/>
      <c r="W39" s="28"/>
      <c r="X39" s="28"/>
      <c r="Y39" s="28"/>
    </row>
    <row r="40" spans="1:25" ht="15.75" customHeight="1" x14ac:dyDescent="0.15">
      <c r="A40" s="28"/>
      <c r="B40" s="28"/>
      <c r="C40" s="28"/>
      <c r="D40" s="28"/>
      <c r="E40" s="28"/>
      <c r="F40" s="28"/>
      <c r="G40" s="28"/>
      <c r="H40" s="28"/>
      <c r="I40" s="28"/>
      <c r="J40" s="28"/>
      <c r="K40" s="28"/>
      <c r="L40" s="28"/>
      <c r="M40" s="28"/>
      <c r="N40" s="28"/>
      <c r="O40" s="28"/>
      <c r="P40" s="28"/>
      <c r="Q40" s="28"/>
      <c r="R40" s="28"/>
      <c r="S40" s="28"/>
      <c r="T40" s="28"/>
      <c r="U40" s="28"/>
      <c r="V40" s="28"/>
      <c r="W40" s="28"/>
      <c r="X40" s="28"/>
      <c r="Y40" s="28"/>
    </row>
    <row r="41" spans="1:25" ht="15.75" customHeight="1" x14ac:dyDescent="0.15">
      <c r="A41" s="28"/>
      <c r="B41" s="28"/>
      <c r="C41" s="28"/>
      <c r="D41" s="28"/>
      <c r="E41" s="28"/>
      <c r="F41" s="28"/>
      <c r="G41" s="28"/>
      <c r="H41" s="28"/>
      <c r="I41" s="28"/>
      <c r="J41" s="28"/>
      <c r="K41" s="28"/>
      <c r="L41" s="28"/>
      <c r="M41" s="28"/>
      <c r="N41" s="28"/>
      <c r="O41" s="28"/>
      <c r="P41" s="28"/>
      <c r="Q41" s="28"/>
      <c r="R41" s="28"/>
      <c r="S41" s="28"/>
      <c r="T41" s="28"/>
      <c r="U41" s="28"/>
      <c r="V41" s="28"/>
      <c r="W41" s="28"/>
      <c r="X41" s="28"/>
      <c r="Y41" s="28"/>
    </row>
    <row r="42" spans="1:25" ht="15.75" customHeight="1" x14ac:dyDescent="0.15">
      <c r="A42" s="28"/>
      <c r="B42" s="28"/>
      <c r="C42" s="28"/>
      <c r="D42" s="28"/>
      <c r="E42" s="28"/>
      <c r="F42" s="28"/>
      <c r="G42" s="28"/>
      <c r="H42" s="28"/>
      <c r="I42" s="28"/>
      <c r="J42" s="28"/>
      <c r="K42" s="28"/>
      <c r="L42" s="28"/>
      <c r="M42" s="28"/>
      <c r="N42" s="28"/>
      <c r="O42" s="28"/>
      <c r="P42" s="28"/>
      <c r="Q42" s="28"/>
      <c r="R42" s="28"/>
      <c r="S42" s="28"/>
      <c r="T42" s="28"/>
      <c r="U42" s="28"/>
      <c r="V42" s="28"/>
      <c r="W42" s="28"/>
      <c r="X42" s="28"/>
      <c r="Y42" s="28"/>
    </row>
    <row r="43" spans="1:25" ht="15.75" customHeight="1" x14ac:dyDescent="0.15">
      <c r="A43" s="28"/>
      <c r="B43" s="28"/>
      <c r="C43" s="28"/>
      <c r="D43" s="28"/>
      <c r="E43" s="28"/>
      <c r="F43" s="28"/>
      <c r="G43" s="28"/>
      <c r="H43" s="28"/>
      <c r="I43" s="28"/>
      <c r="J43" s="28"/>
      <c r="K43" s="28"/>
      <c r="L43" s="28"/>
      <c r="M43" s="28"/>
      <c r="N43" s="28"/>
      <c r="O43" s="28"/>
      <c r="P43" s="28"/>
      <c r="Q43" s="28"/>
      <c r="R43" s="28"/>
      <c r="S43" s="28"/>
      <c r="T43" s="28"/>
      <c r="U43" s="28"/>
      <c r="V43" s="28"/>
      <c r="W43" s="28"/>
      <c r="X43" s="28"/>
      <c r="Y43" s="28"/>
    </row>
    <row r="44" spans="1:25" ht="15.75" customHeight="1" x14ac:dyDescent="0.15">
      <c r="A44" s="28"/>
      <c r="B44" s="28"/>
      <c r="C44" s="28"/>
      <c r="D44" s="28"/>
      <c r="E44" s="28"/>
      <c r="F44" s="28"/>
      <c r="G44" s="28"/>
      <c r="H44" s="28"/>
      <c r="I44" s="28"/>
      <c r="J44" s="28"/>
      <c r="K44" s="28"/>
      <c r="L44" s="28"/>
      <c r="M44" s="28"/>
      <c r="N44" s="28"/>
      <c r="O44" s="28"/>
      <c r="P44" s="28"/>
      <c r="Q44" s="28"/>
      <c r="R44" s="28"/>
      <c r="S44" s="28"/>
      <c r="T44" s="28"/>
      <c r="U44" s="28"/>
      <c r="V44" s="28"/>
      <c r="W44" s="28"/>
      <c r="X44" s="28"/>
      <c r="Y44" s="28"/>
    </row>
    <row r="45" spans="1:25" ht="15.75" customHeight="1" x14ac:dyDescent="0.15">
      <c r="A45" s="28"/>
      <c r="B45" s="28"/>
      <c r="C45" s="28"/>
      <c r="D45" s="28"/>
      <c r="E45" s="28"/>
      <c r="F45" s="28"/>
      <c r="G45" s="28"/>
      <c r="H45" s="28"/>
      <c r="I45" s="28"/>
      <c r="J45" s="28"/>
      <c r="K45" s="28"/>
      <c r="L45" s="28"/>
      <c r="M45" s="28"/>
      <c r="N45" s="28"/>
      <c r="O45" s="28"/>
      <c r="P45" s="28"/>
      <c r="Q45" s="28"/>
      <c r="R45" s="28"/>
      <c r="S45" s="28"/>
      <c r="T45" s="28"/>
      <c r="U45" s="28"/>
      <c r="V45" s="28"/>
      <c r="W45" s="28"/>
      <c r="X45" s="28"/>
      <c r="Y45" s="28"/>
    </row>
    <row r="46" spans="1:25" ht="15.75" customHeight="1" x14ac:dyDescent="0.15">
      <c r="A46" s="28"/>
      <c r="B46" s="28"/>
      <c r="C46" s="28"/>
      <c r="D46" s="28"/>
      <c r="E46" s="28"/>
      <c r="F46" s="28"/>
      <c r="G46" s="28"/>
      <c r="H46" s="28"/>
      <c r="I46" s="28"/>
      <c r="J46" s="28"/>
      <c r="K46" s="28"/>
      <c r="L46" s="28"/>
      <c r="M46" s="28"/>
      <c r="N46" s="28"/>
      <c r="O46" s="28"/>
      <c r="P46" s="28"/>
      <c r="Q46" s="28"/>
      <c r="R46" s="28"/>
      <c r="S46" s="28"/>
      <c r="T46" s="28"/>
      <c r="U46" s="28"/>
      <c r="V46" s="28"/>
      <c r="W46" s="28"/>
      <c r="X46" s="28"/>
      <c r="Y46" s="28"/>
    </row>
    <row r="47" spans="1:25" ht="15.75" customHeight="1" x14ac:dyDescent="0.15">
      <c r="A47" s="28"/>
      <c r="B47" s="28"/>
      <c r="C47" s="28"/>
      <c r="D47" s="28"/>
      <c r="E47" s="28"/>
      <c r="F47" s="28"/>
      <c r="G47" s="28"/>
      <c r="H47" s="28"/>
      <c r="I47" s="28"/>
      <c r="J47" s="28"/>
      <c r="K47" s="28"/>
      <c r="L47" s="28"/>
      <c r="M47" s="28"/>
      <c r="N47" s="28"/>
      <c r="O47" s="28"/>
      <c r="P47" s="28"/>
      <c r="Q47" s="28"/>
      <c r="R47" s="28"/>
      <c r="S47" s="28"/>
      <c r="T47" s="28"/>
      <c r="U47" s="28"/>
      <c r="V47" s="28"/>
      <c r="W47" s="28"/>
      <c r="X47" s="28"/>
      <c r="Y47" s="28"/>
    </row>
    <row r="48" spans="1:25" ht="15.75" customHeight="1" x14ac:dyDescent="0.15">
      <c r="A48" s="28"/>
      <c r="B48" s="28"/>
      <c r="C48" s="28"/>
      <c r="D48" s="28"/>
      <c r="E48" s="28"/>
      <c r="F48" s="28"/>
      <c r="G48" s="28"/>
      <c r="H48" s="28"/>
      <c r="I48" s="28"/>
      <c r="J48" s="28"/>
      <c r="K48" s="28"/>
      <c r="L48" s="28"/>
      <c r="M48" s="28"/>
      <c r="N48" s="28"/>
      <c r="O48" s="28"/>
      <c r="P48" s="28"/>
      <c r="Q48" s="28"/>
      <c r="R48" s="28"/>
      <c r="S48" s="28"/>
      <c r="T48" s="28"/>
      <c r="U48" s="28"/>
      <c r="V48" s="28"/>
      <c r="W48" s="28"/>
      <c r="X48" s="28"/>
      <c r="Y48" s="28"/>
    </row>
    <row r="49" spans="1:25" ht="15.75" customHeight="1" x14ac:dyDescent="0.15">
      <c r="A49" s="28"/>
      <c r="B49" s="28"/>
      <c r="C49" s="28"/>
      <c r="D49" s="28"/>
      <c r="E49" s="28"/>
      <c r="F49" s="28"/>
      <c r="G49" s="28"/>
      <c r="H49" s="28"/>
      <c r="I49" s="28"/>
      <c r="J49" s="28"/>
      <c r="K49" s="28"/>
      <c r="L49" s="28"/>
      <c r="M49" s="28"/>
      <c r="N49" s="28"/>
      <c r="O49" s="28"/>
      <c r="P49" s="28"/>
      <c r="Q49" s="28"/>
      <c r="R49" s="28"/>
      <c r="S49" s="28"/>
      <c r="T49" s="28"/>
      <c r="U49" s="28"/>
      <c r="V49" s="28"/>
      <c r="W49" s="28"/>
      <c r="X49" s="28"/>
      <c r="Y49" s="28"/>
    </row>
    <row r="50" spans="1:25" ht="15.75" customHeight="1" x14ac:dyDescent="0.15">
      <c r="A50" s="28"/>
      <c r="B50" s="28"/>
      <c r="C50" s="28"/>
      <c r="D50" s="28"/>
      <c r="E50" s="28"/>
      <c r="F50" s="28"/>
      <c r="G50" s="28"/>
      <c r="H50" s="28"/>
      <c r="I50" s="28"/>
      <c r="J50" s="28"/>
      <c r="K50" s="28"/>
      <c r="L50" s="28"/>
      <c r="M50" s="28"/>
      <c r="N50" s="28"/>
      <c r="O50" s="28"/>
      <c r="P50" s="28"/>
      <c r="Q50" s="28"/>
      <c r="R50" s="28"/>
      <c r="S50" s="28"/>
      <c r="T50" s="28"/>
      <c r="U50" s="28"/>
      <c r="V50" s="28"/>
      <c r="W50" s="28"/>
      <c r="X50" s="28"/>
      <c r="Y50" s="28"/>
    </row>
    <row r="51" spans="1:25" ht="15.75" customHeight="1" x14ac:dyDescent="0.15">
      <c r="A51" s="28"/>
      <c r="B51" s="28"/>
      <c r="C51" s="28"/>
      <c r="D51" s="28"/>
      <c r="E51" s="28"/>
      <c r="F51" s="28"/>
      <c r="G51" s="28"/>
      <c r="H51" s="28"/>
      <c r="I51" s="28"/>
      <c r="J51" s="28"/>
      <c r="K51" s="28"/>
      <c r="L51" s="28"/>
      <c r="M51" s="28"/>
      <c r="N51" s="28"/>
      <c r="O51" s="28"/>
      <c r="P51" s="28"/>
      <c r="Q51" s="28"/>
      <c r="R51" s="28"/>
      <c r="S51" s="28"/>
      <c r="T51" s="28"/>
      <c r="U51" s="28"/>
      <c r="V51" s="28"/>
      <c r="W51" s="28"/>
      <c r="X51" s="28"/>
      <c r="Y51" s="28"/>
    </row>
    <row r="52" spans="1:25" ht="15.75" customHeight="1" x14ac:dyDescent="0.15">
      <c r="A52" s="28"/>
      <c r="B52" s="28"/>
      <c r="C52" s="28"/>
      <c r="D52" s="28"/>
      <c r="E52" s="28"/>
      <c r="F52" s="28"/>
      <c r="G52" s="28"/>
      <c r="H52" s="28"/>
      <c r="I52" s="28"/>
      <c r="J52" s="28"/>
      <c r="K52" s="28"/>
      <c r="L52" s="28"/>
      <c r="M52" s="28"/>
      <c r="N52" s="28"/>
      <c r="O52" s="28"/>
      <c r="P52" s="28"/>
      <c r="Q52" s="28"/>
      <c r="R52" s="28"/>
      <c r="S52" s="28"/>
      <c r="T52" s="28"/>
      <c r="U52" s="28"/>
      <c r="V52" s="28"/>
      <c r="W52" s="28"/>
      <c r="X52" s="28"/>
      <c r="Y52" s="28"/>
    </row>
    <row r="53" spans="1:25" ht="15.75" customHeight="1" x14ac:dyDescent="0.15">
      <c r="A53" s="28"/>
      <c r="B53" s="28"/>
      <c r="C53" s="28"/>
      <c r="D53" s="28"/>
      <c r="E53" s="28"/>
      <c r="F53" s="28"/>
      <c r="G53" s="28"/>
      <c r="H53" s="28"/>
      <c r="I53" s="28"/>
      <c r="J53" s="28"/>
      <c r="K53" s="28"/>
      <c r="L53" s="28"/>
      <c r="M53" s="28"/>
      <c r="N53" s="28"/>
      <c r="O53" s="28"/>
      <c r="P53" s="28"/>
      <c r="Q53" s="28"/>
      <c r="R53" s="28"/>
      <c r="S53" s="28"/>
      <c r="T53" s="28"/>
      <c r="U53" s="28"/>
      <c r="V53" s="28"/>
      <c r="W53" s="28"/>
      <c r="X53" s="28"/>
      <c r="Y53" s="28"/>
    </row>
    <row r="54" spans="1:25" ht="15.75" customHeight="1" x14ac:dyDescent="0.15">
      <c r="A54" s="28"/>
      <c r="B54" s="28"/>
      <c r="C54" s="28"/>
      <c r="D54" s="28"/>
      <c r="E54" s="28"/>
      <c r="F54" s="28"/>
      <c r="G54" s="28"/>
      <c r="H54" s="28"/>
      <c r="I54" s="28"/>
      <c r="J54" s="28"/>
      <c r="K54" s="28"/>
      <c r="L54" s="28"/>
      <c r="M54" s="28"/>
      <c r="N54" s="28"/>
      <c r="O54" s="28"/>
      <c r="P54" s="28"/>
      <c r="Q54" s="28"/>
      <c r="R54" s="28"/>
      <c r="S54" s="28"/>
      <c r="T54" s="28"/>
      <c r="U54" s="28"/>
      <c r="V54" s="28"/>
      <c r="W54" s="28"/>
      <c r="X54" s="28"/>
      <c r="Y54" s="28"/>
    </row>
    <row r="55" spans="1:25" ht="15.75" customHeight="1" x14ac:dyDescent="0.15">
      <c r="A55" s="28"/>
      <c r="B55" s="28"/>
      <c r="C55" s="28"/>
      <c r="D55" s="28"/>
      <c r="E55" s="28"/>
      <c r="F55" s="28"/>
      <c r="G55" s="28"/>
      <c r="H55" s="28"/>
      <c r="I55" s="28"/>
      <c r="J55" s="28"/>
      <c r="K55" s="28"/>
      <c r="L55" s="28"/>
      <c r="M55" s="28"/>
      <c r="N55" s="28"/>
      <c r="O55" s="28"/>
      <c r="P55" s="28"/>
      <c r="Q55" s="28"/>
      <c r="R55" s="28"/>
      <c r="S55" s="28"/>
      <c r="T55" s="28"/>
      <c r="U55" s="28"/>
      <c r="V55" s="28"/>
      <c r="W55" s="28"/>
      <c r="X55" s="28"/>
      <c r="Y55" s="28"/>
    </row>
    <row r="56" spans="1:25" ht="15.75" customHeight="1" x14ac:dyDescent="0.15">
      <c r="A56" s="28"/>
      <c r="B56" s="28"/>
      <c r="C56" s="28"/>
      <c r="D56" s="28"/>
      <c r="E56" s="28"/>
      <c r="F56" s="28"/>
      <c r="G56" s="28"/>
      <c r="H56" s="28"/>
      <c r="I56" s="28"/>
      <c r="J56" s="28"/>
      <c r="K56" s="28"/>
      <c r="L56" s="28"/>
      <c r="M56" s="28"/>
      <c r="N56" s="28"/>
      <c r="O56" s="28"/>
      <c r="P56" s="28"/>
      <c r="Q56" s="28"/>
      <c r="R56" s="28"/>
      <c r="S56" s="28"/>
      <c r="T56" s="28"/>
      <c r="U56" s="28"/>
      <c r="V56" s="28"/>
      <c r="W56" s="28"/>
      <c r="X56" s="28"/>
      <c r="Y56" s="28"/>
    </row>
    <row r="57" spans="1:25" ht="15.75" customHeight="1" x14ac:dyDescent="0.15">
      <c r="A57" s="28"/>
      <c r="B57" s="28"/>
      <c r="C57" s="28"/>
      <c r="D57" s="28"/>
      <c r="E57" s="28"/>
      <c r="F57" s="28"/>
      <c r="G57" s="28"/>
      <c r="H57" s="28"/>
      <c r="I57" s="28"/>
      <c r="J57" s="28"/>
      <c r="K57" s="28"/>
      <c r="L57" s="28"/>
      <c r="M57" s="28"/>
      <c r="N57" s="28"/>
      <c r="O57" s="28"/>
      <c r="P57" s="28"/>
      <c r="Q57" s="28"/>
      <c r="R57" s="28"/>
      <c r="S57" s="28"/>
      <c r="T57" s="28"/>
      <c r="U57" s="28"/>
      <c r="V57" s="28"/>
      <c r="W57" s="28"/>
      <c r="X57" s="28"/>
      <c r="Y57" s="28"/>
    </row>
    <row r="58" spans="1:25" ht="15.75" customHeight="1" x14ac:dyDescent="0.15">
      <c r="A58" s="28"/>
      <c r="B58" s="28"/>
      <c r="C58" s="28"/>
      <c r="D58" s="28"/>
      <c r="E58" s="28"/>
      <c r="F58" s="28"/>
      <c r="G58" s="28"/>
      <c r="H58" s="28"/>
      <c r="I58" s="28"/>
      <c r="J58" s="28"/>
      <c r="K58" s="28"/>
      <c r="L58" s="28"/>
      <c r="M58" s="28"/>
      <c r="N58" s="28"/>
      <c r="O58" s="28"/>
      <c r="P58" s="28"/>
      <c r="Q58" s="28"/>
      <c r="R58" s="28"/>
      <c r="S58" s="28"/>
      <c r="T58" s="28"/>
      <c r="U58" s="28"/>
      <c r="V58" s="28"/>
      <c r="W58" s="28"/>
      <c r="X58" s="28"/>
      <c r="Y58" s="28"/>
    </row>
    <row r="59" spans="1:25" ht="15.75" customHeight="1" x14ac:dyDescent="0.15">
      <c r="A59" s="28"/>
      <c r="B59" s="28"/>
      <c r="C59" s="28"/>
      <c r="D59" s="28"/>
      <c r="E59" s="28"/>
      <c r="F59" s="28"/>
      <c r="G59" s="28"/>
      <c r="H59" s="28"/>
      <c r="I59" s="28"/>
      <c r="J59" s="28"/>
      <c r="K59" s="28"/>
      <c r="L59" s="28"/>
      <c r="M59" s="28"/>
      <c r="N59" s="28"/>
      <c r="O59" s="28"/>
      <c r="P59" s="28"/>
      <c r="Q59" s="28"/>
      <c r="R59" s="28"/>
      <c r="S59" s="28"/>
      <c r="T59" s="28"/>
      <c r="U59" s="28"/>
      <c r="V59" s="28"/>
      <c r="W59" s="28"/>
      <c r="X59" s="28"/>
      <c r="Y59" s="28"/>
    </row>
    <row r="60" spans="1:25" ht="15.75" customHeight="1" x14ac:dyDescent="0.15">
      <c r="A60" s="28"/>
      <c r="B60" s="28"/>
      <c r="C60" s="28"/>
      <c r="D60" s="28"/>
      <c r="E60" s="28"/>
      <c r="F60" s="28"/>
      <c r="G60" s="28"/>
      <c r="H60" s="28"/>
      <c r="I60" s="28"/>
      <c r="J60" s="28"/>
      <c r="K60" s="28"/>
      <c r="L60" s="28"/>
      <c r="M60" s="28"/>
      <c r="N60" s="28"/>
      <c r="O60" s="28"/>
      <c r="P60" s="28"/>
      <c r="Q60" s="28"/>
      <c r="R60" s="28"/>
      <c r="S60" s="28"/>
      <c r="T60" s="28"/>
      <c r="U60" s="28"/>
      <c r="V60" s="28"/>
      <c r="W60" s="28"/>
      <c r="X60" s="28"/>
      <c r="Y60" s="28"/>
    </row>
    <row r="61" spans="1:25" ht="15.75" customHeight="1" x14ac:dyDescent="0.15">
      <c r="A61" s="28"/>
      <c r="B61" s="28"/>
      <c r="C61" s="28"/>
      <c r="D61" s="28"/>
      <c r="E61" s="28"/>
      <c r="F61" s="28"/>
      <c r="G61" s="28"/>
      <c r="H61" s="28"/>
      <c r="I61" s="28"/>
      <c r="J61" s="28"/>
      <c r="K61" s="28"/>
      <c r="L61" s="28"/>
      <c r="M61" s="28"/>
      <c r="N61" s="28"/>
      <c r="O61" s="28"/>
      <c r="P61" s="28"/>
      <c r="Q61" s="28"/>
      <c r="R61" s="28"/>
      <c r="S61" s="28"/>
      <c r="T61" s="28"/>
      <c r="U61" s="28"/>
      <c r="V61" s="28"/>
      <c r="W61" s="28"/>
      <c r="X61" s="28"/>
      <c r="Y61" s="28"/>
    </row>
    <row r="62" spans="1:25" ht="15.75" customHeight="1" x14ac:dyDescent="0.15">
      <c r="A62" s="28"/>
      <c r="B62" s="28"/>
      <c r="C62" s="28"/>
      <c r="D62" s="28"/>
      <c r="E62" s="28"/>
      <c r="F62" s="28"/>
      <c r="G62" s="28"/>
      <c r="H62" s="28"/>
      <c r="I62" s="28"/>
      <c r="J62" s="28"/>
      <c r="K62" s="28"/>
      <c r="L62" s="28"/>
      <c r="M62" s="28"/>
      <c r="N62" s="28"/>
      <c r="O62" s="28"/>
      <c r="P62" s="28"/>
      <c r="Q62" s="28"/>
      <c r="R62" s="28"/>
      <c r="S62" s="28"/>
      <c r="T62" s="28"/>
      <c r="U62" s="28"/>
      <c r="V62" s="28"/>
      <c r="W62" s="28"/>
      <c r="X62" s="28"/>
      <c r="Y62" s="28"/>
    </row>
    <row r="63" spans="1:25" ht="15.75" customHeight="1" x14ac:dyDescent="0.15">
      <c r="A63" s="28"/>
      <c r="B63" s="28"/>
      <c r="C63" s="28"/>
      <c r="D63" s="28"/>
      <c r="E63" s="28"/>
      <c r="F63" s="28"/>
      <c r="G63" s="28"/>
      <c r="H63" s="28"/>
      <c r="I63" s="28"/>
      <c r="J63" s="28"/>
      <c r="K63" s="28"/>
      <c r="L63" s="28"/>
      <c r="M63" s="28"/>
      <c r="N63" s="28"/>
      <c r="O63" s="28"/>
      <c r="P63" s="28"/>
      <c r="Q63" s="28"/>
      <c r="R63" s="28"/>
      <c r="S63" s="28"/>
      <c r="T63" s="28"/>
      <c r="U63" s="28"/>
      <c r="V63" s="28"/>
      <c r="W63" s="28"/>
      <c r="X63" s="28"/>
      <c r="Y63" s="28"/>
    </row>
    <row r="64" spans="1:25" ht="15.75" customHeight="1" x14ac:dyDescent="0.15">
      <c r="A64" s="28"/>
      <c r="B64" s="28"/>
      <c r="C64" s="28"/>
      <c r="D64" s="28"/>
      <c r="E64" s="28"/>
      <c r="F64" s="28"/>
      <c r="G64" s="28"/>
      <c r="H64" s="28"/>
      <c r="I64" s="28"/>
      <c r="J64" s="28"/>
      <c r="K64" s="28"/>
      <c r="L64" s="28"/>
      <c r="M64" s="28"/>
      <c r="N64" s="28"/>
      <c r="O64" s="28"/>
      <c r="P64" s="28"/>
      <c r="Q64" s="28"/>
      <c r="R64" s="28"/>
      <c r="S64" s="28"/>
      <c r="T64" s="28"/>
      <c r="U64" s="28"/>
      <c r="V64" s="28"/>
      <c r="W64" s="28"/>
      <c r="X64" s="28"/>
      <c r="Y64" s="28"/>
    </row>
    <row r="65" spans="1:25" ht="15.75" customHeight="1" x14ac:dyDescent="0.15">
      <c r="A65" s="28"/>
      <c r="B65" s="28"/>
      <c r="C65" s="28"/>
      <c r="D65" s="28"/>
      <c r="E65" s="28"/>
      <c r="F65" s="28"/>
      <c r="G65" s="28"/>
      <c r="H65" s="28"/>
      <c r="I65" s="28"/>
      <c r="J65" s="28"/>
      <c r="K65" s="28"/>
      <c r="L65" s="28"/>
      <c r="M65" s="28"/>
      <c r="N65" s="28"/>
      <c r="O65" s="28"/>
      <c r="P65" s="28"/>
      <c r="Q65" s="28"/>
      <c r="R65" s="28"/>
      <c r="S65" s="28"/>
      <c r="T65" s="28"/>
      <c r="U65" s="28"/>
      <c r="V65" s="28"/>
      <c r="W65" s="28"/>
      <c r="X65" s="28"/>
      <c r="Y65" s="28"/>
    </row>
    <row r="66" spans="1:25" ht="15.75" customHeight="1" x14ac:dyDescent="0.15">
      <c r="A66" s="28"/>
      <c r="B66" s="28"/>
      <c r="C66" s="28"/>
      <c r="D66" s="28"/>
      <c r="E66" s="28"/>
      <c r="F66" s="28"/>
      <c r="G66" s="28"/>
      <c r="H66" s="28"/>
      <c r="I66" s="28"/>
      <c r="J66" s="28"/>
      <c r="K66" s="28"/>
      <c r="L66" s="28"/>
      <c r="M66" s="28"/>
      <c r="N66" s="28"/>
      <c r="O66" s="28"/>
      <c r="P66" s="28"/>
      <c r="Q66" s="28"/>
      <c r="R66" s="28"/>
      <c r="S66" s="28"/>
      <c r="T66" s="28"/>
      <c r="U66" s="28"/>
      <c r="V66" s="28"/>
      <c r="W66" s="28"/>
      <c r="X66" s="28"/>
      <c r="Y66" s="28"/>
    </row>
    <row r="67" spans="1:25" ht="15.75" customHeight="1" x14ac:dyDescent="0.15">
      <c r="A67" s="28"/>
      <c r="B67" s="28"/>
      <c r="C67" s="28"/>
      <c r="D67" s="28"/>
      <c r="E67" s="28"/>
      <c r="F67" s="28"/>
      <c r="G67" s="28"/>
      <c r="H67" s="28"/>
      <c r="I67" s="28"/>
      <c r="J67" s="28"/>
      <c r="K67" s="28"/>
      <c r="L67" s="28"/>
      <c r="M67" s="28"/>
      <c r="N67" s="28"/>
      <c r="O67" s="28"/>
      <c r="P67" s="28"/>
      <c r="Q67" s="28"/>
      <c r="R67" s="28"/>
      <c r="S67" s="28"/>
      <c r="T67" s="28"/>
      <c r="U67" s="28"/>
      <c r="V67" s="28"/>
      <c r="W67" s="28"/>
      <c r="X67" s="28"/>
      <c r="Y67" s="28"/>
    </row>
    <row r="68" spans="1:25" ht="15.75" customHeight="1" x14ac:dyDescent="0.15">
      <c r="A68" s="28"/>
      <c r="B68" s="28"/>
      <c r="C68" s="28"/>
      <c r="D68" s="28"/>
      <c r="E68" s="28"/>
      <c r="F68" s="28"/>
      <c r="G68" s="28"/>
      <c r="H68" s="28"/>
      <c r="I68" s="28"/>
      <c r="J68" s="28"/>
      <c r="K68" s="28"/>
      <c r="L68" s="28"/>
      <c r="M68" s="28"/>
      <c r="N68" s="28"/>
      <c r="O68" s="28"/>
      <c r="P68" s="28"/>
      <c r="Q68" s="28"/>
      <c r="R68" s="28"/>
      <c r="S68" s="28"/>
      <c r="T68" s="28"/>
      <c r="U68" s="28"/>
      <c r="V68" s="28"/>
      <c r="W68" s="28"/>
      <c r="X68" s="28"/>
      <c r="Y68" s="28"/>
    </row>
    <row r="69" spans="1:25" ht="15.75" customHeight="1" x14ac:dyDescent="0.15">
      <c r="A69" s="28"/>
      <c r="B69" s="28"/>
      <c r="C69" s="28"/>
      <c r="D69" s="28"/>
      <c r="E69" s="28"/>
      <c r="F69" s="28"/>
      <c r="G69" s="28"/>
      <c r="H69" s="28"/>
      <c r="I69" s="28"/>
      <c r="J69" s="28"/>
      <c r="K69" s="28"/>
      <c r="L69" s="28"/>
      <c r="M69" s="28"/>
      <c r="N69" s="28"/>
      <c r="O69" s="28"/>
      <c r="P69" s="28"/>
      <c r="Q69" s="28"/>
      <c r="R69" s="28"/>
      <c r="S69" s="28"/>
      <c r="T69" s="28"/>
      <c r="U69" s="28"/>
      <c r="V69" s="28"/>
      <c r="W69" s="28"/>
      <c r="X69" s="28"/>
      <c r="Y69" s="28"/>
    </row>
    <row r="70" spans="1:25" ht="15.75" customHeight="1" x14ac:dyDescent="0.15">
      <c r="A70" s="28"/>
      <c r="B70" s="28"/>
      <c r="C70" s="28"/>
      <c r="D70" s="28"/>
      <c r="E70" s="28"/>
      <c r="F70" s="28"/>
      <c r="G70" s="28"/>
      <c r="H70" s="28"/>
      <c r="I70" s="28"/>
      <c r="J70" s="28"/>
      <c r="K70" s="28"/>
      <c r="L70" s="28"/>
      <c r="M70" s="28"/>
      <c r="N70" s="28"/>
      <c r="O70" s="28"/>
      <c r="P70" s="28"/>
      <c r="Q70" s="28"/>
      <c r="R70" s="28"/>
      <c r="S70" s="28"/>
      <c r="T70" s="28"/>
      <c r="U70" s="28"/>
      <c r="V70" s="28"/>
      <c r="W70" s="28"/>
      <c r="X70" s="28"/>
      <c r="Y70" s="28"/>
    </row>
    <row r="71" spans="1:25" ht="15.75" customHeight="1" x14ac:dyDescent="0.15">
      <c r="A71" s="28"/>
      <c r="B71" s="28"/>
      <c r="C71" s="28"/>
      <c r="D71" s="28"/>
      <c r="E71" s="28"/>
      <c r="F71" s="28"/>
      <c r="G71" s="28"/>
      <c r="H71" s="28"/>
      <c r="I71" s="28"/>
      <c r="J71" s="28"/>
      <c r="K71" s="28"/>
      <c r="L71" s="28"/>
      <c r="M71" s="28"/>
      <c r="N71" s="28"/>
      <c r="O71" s="28"/>
      <c r="P71" s="28"/>
      <c r="Q71" s="28"/>
      <c r="R71" s="28"/>
      <c r="S71" s="28"/>
      <c r="T71" s="28"/>
      <c r="U71" s="28"/>
      <c r="V71" s="28"/>
      <c r="W71" s="28"/>
      <c r="X71" s="28"/>
      <c r="Y71" s="28"/>
    </row>
    <row r="72" spans="1:25" ht="15.75" customHeight="1" x14ac:dyDescent="0.15">
      <c r="A72" s="28"/>
      <c r="B72" s="28"/>
      <c r="C72" s="28"/>
      <c r="D72" s="28"/>
      <c r="E72" s="28"/>
      <c r="F72" s="28"/>
      <c r="G72" s="28"/>
      <c r="H72" s="28"/>
      <c r="I72" s="28"/>
      <c r="J72" s="28"/>
      <c r="K72" s="28"/>
      <c r="L72" s="28"/>
      <c r="M72" s="28"/>
      <c r="N72" s="28"/>
      <c r="O72" s="28"/>
      <c r="P72" s="28"/>
      <c r="Q72" s="28"/>
      <c r="R72" s="28"/>
      <c r="S72" s="28"/>
      <c r="T72" s="28"/>
      <c r="U72" s="28"/>
      <c r="V72" s="28"/>
      <c r="W72" s="28"/>
      <c r="X72" s="28"/>
      <c r="Y72" s="28"/>
    </row>
    <row r="73" spans="1:25" ht="15.75" customHeight="1" x14ac:dyDescent="0.15">
      <c r="A73" s="28"/>
      <c r="B73" s="28"/>
      <c r="C73" s="28"/>
      <c r="D73" s="28"/>
      <c r="E73" s="28"/>
      <c r="F73" s="28"/>
      <c r="G73" s="28"/>
      <c r="H73" s="28"/>
      <c r="I73" s="28"/>
      <c r="J73" s="28"/>
      <c r="K73" s="28"/>
      <c r="L73" s="28"/>
      <c r="M73" s="28"/>
      <c r="N73" s="28"/>
      <c r="O73" s="28"/>
      <c r="P73" s="28"/>
      <c r="Q73" s="28"/>
      <c r="R73" s="28"/>
      <c r="S73" s="28"/>
      <c r="T73" s="28"/>
      <c r="U73" s="28"/>
      <c r="V73" s="28"/>
      <c r="W73" s="28"/>
      <c r="X73" s="28"/>
      <c r="Y73" s="28"/>
    </row>
    <row r="74" spans="1:25" ht="15.75" customHeight="1" x14ac:dyDescent="0.15">
      <c r="A74" s="28"/>
      <c r="B74" s="28"/>
      <c r="C74" s="28"/>
      <c r="D74" s="28"/>
      <c r="E74" s="28"/>
      <c r="F74" s="28"/>
      <c r="G74" s="28"/>
      <c r="H74" s="28"/>
      <c r="I74" s="28"/>
      <c r="J74" s="28"/>
      <c r="K74" s="28"/>
      <c r="L74" s="28"/>
      <c r="M74" s="28"/>
      <c r="N74" s="28"/>
      <c r="O74" s="28"/>
      <c r="P74" s="28"/>
      <c r="Q74" s="28"/>
      <c r="R74" s="28"/>
      <c r="S74" s="28"/>
      <c r="T74" s="28"/>
      <c r="U74" s="28"/>
      <c r="V74" s="28"/>
      <c r="W74" s="28"/>
      <c r="X74" s="28"/>
      <c r="Y74" s="28"/>
    </row>
    <row r="75" spans="1:25" ht="15.75" customHeight="1" x14ac:dyDescent="0.15">
      <c r="A75" s="28"/>
      <c r="B75" s="28"/>
      <c r="C75" s="28"/>
      <c r="D75" s="28"/>
      <c r="E75" s="28"/>
      <c r="F75" s="28"/>
      <c r="G75" s="28"/>
      <c r="H75" s="28"/>
      <c r="I75" s="28"/>
      <c r="J75" s="28"/>
      <c r="K75" s="28"/>
      <c r="L75" s="28"/>
      <c r="M75" s="28"/>
      <c r="N75" s="28"/>
      <c r="O75" s="28"/>
      <c r="P75" s="28"/>
      <c r="Q75" s="28"/>
      <c r="R75" s="28"/>
      <c r="S75" s="28"/>
      <c r="T75" s="28"/>
      <c r="U75" s="28"/>
      <c r="V75" s="28"/>
      <c r="W75" s="28"/>
      <c r="X75" s="28"/>
      <c r="Y75" s="28"/>
    </row>
    <row r="76" spans="1:25" ht="15.75" customHeight="1" x14ac:dyDescent="0.15">
      <c r="A76" s="28"/>
      <c r="B76" s="28"/>
      <c r="C76" s="28"/>
      <c r="D76" s="28"/>
      <c r="E76" s="28"/>
      <c r="F76" s="28"/>
      <c r="G76" s="28"/>
      <c r="H76" s="28"/>
      <c r="I76" s="28"/>
      <c r="J76" s="28"/>
      <c r="K76" s="28"/>
      <c r="L76" s="28"/>
      <c r="M76" s="28"/>
      <c r="N76" s="28"/>
      <c r="O76" s="28"/>
      <c r="P76" s="28"/>
      <c r="Q76" s="28"/>
      <c r="R76" s="28"/>
      <c r="S76" s="28"/>
      <c r="T76" s="28"/>
      <c r="U76" s="28"/>
      <c r="V76" s="28"/>
      <c r="W76" s="28"/>
      <c r="X76" s="28"/>
      <c r="Y76" s="28"/>
    </row>
    <row r="77" spans="1:25" ht="15.75" customHeight="1" x14ac:dyDescent="0.15">
      <c r="A77" s="28"/>
      <c r="B77" s="28"/>
      <c r="C77" s="28"/>
      <c r="D77" s="28"/>
      <c r="E77" s="28"/>
      <c r="F77" s="28"/>
      <c r="G77" s="28"/>
      <c r="H77" s="28"/>
      <c r="I77" s="28"/>
      <c r="J77" s="28"/>
      <c r="K77" s="28"/>
      <c r="L77" s="28"/>
      <c r="M77" s="28"/>
      <c r="N77" s="28"/>
      <c r="O77" s="28"/>
      <c r="P77" s="28"/>
      <c r="Q77" s="28"/>
      <c r="R77" s="28"/>
      <c r="S77" s="28"/>
      <c r="T77" s="28"/>
      <c r="U77" s="28"/>
      <c r="V77" s="28"/>
      <c r="W77" s="28"/>
      <c r="X77" s="28"/>
      <c r="Y77" s="28"/>
    </row>
    <row r="78" spans="1:25" ht="15.75" customHeight="1" x14ac:dyDescent="0.15">
      <c r="A78" s="28"/>
      <c r="B78" s="28"/>
      <c r="C78" s="28"/>
      <c r="D78" s="28"/>
      <c r="E78" s="28"/>
      <c r="F78" s="28"/>
      <c r="G78" s="28"/>
      <c r="H78" s="28"/>
      <c r="I78" s="28"/>
      <c r="J78" s="28"/>
      <c r="K78" s="28"/>
      <c r="L78" s="28"/>
      <c r="M78" s="28"/>
      <c r="N78" s="28"/>
      <c r="O78" s="28"/>
      <c r="P78" s="28"/>
      <c r="Q78" s="28"/>
      <c r="R78" s="28"/>
      <c r="S78" s="28"/>
      <c r="T78" s="28"/>
      <c r="U78" s="28"/>
      <c r="V78" s="28"/>
      <c r="W78" s="28"/>
      <c r="X78" s="28"/>
      <c r="Y78" s="28"/>
    </row>
    <row r="79" spans="1:25" ht="15.75" customHeight="1" x14ac:dyDescent="0.15">
      <c r="A79" s="28"/>
      <c r="B79" s="28"/>
      <c r="C79" s="28"/>
      <c r="D79" s="28"/>
      <c r="E79" s="28"/>
      <c r="F79" s="28"/>
      <c r="G79" s="28"/>
      <c r="H79" s="28"/>
      <c r="I79" s="28"/>
      <c r="J79" s="28"/>
      <c r="K79" s="28"/>
      <c r="L79" s="28"/>
      <c r="M79" s="28"/>
      <c r="N79" s="28"/>
      <c r="O79" s="28"/>
      <c r="P79" s="28"/>
      <c r="Q79" s="28"/>
      <c r="R79" s="28"/>
      <c r="S79" s="28"/>
      <c r="T79" s="28"/>
      <c r="U79" s="28"/>
      <c r="V79" s="28"/>
      <c r="W79" s="28"/>
      <c r="X79" s="28"/>
      <c r="Y79" s="28"/>
    </row>
    <row r="80" spans="1:25" ht="15.75" customHeight="1" x14ac:dyDescent="0.15">
      <c r="A80" s="28"/>
      <c r="B80" s="28"/>
      <c r="C80" s="28"/>
      <c r="D80" s="28"/>
      <c r="E80" s="28"/>
      <c r="F80" s="28"/>
      <c r="G80" s="28"/>
      <c r="H80" s="28"/>
      <c r="I80" s="28"/>
      <c r="J80" s="28"/>
      <c r="K80" s="28"/>
      <c r="L80" s="28"/>
      <c r="M80" s="28"/>
      <c r="N80" s="28"/>
      <c r="O80" s="28"/>
      <c r="P80" s="28"/>
      <c r="Q80" s="28"/>
      <c r="R80" s="28"/>
      <c r="S80" s="28"/>
      <c r="T80" s="28"/>
      <c r="U80" s="28"/>
      <c r="V80" s="28"/>
      <c r="W80" s="28"/>
      <c r="X80" s="28"/>
      <c r="Y80" s="28"/>
    </row>
    <row r="81" spans="1:25" ht="15.75" customHeight="1" x14ac:dyDescent="0.15">
      <c r="A81" s="28"/>
      <c r="B81" s="28"/>
      <c r="C81" s="28"/>
      <c r="D81" s="28"/>
      <c r="E81" s="28"/>
      <c r="F81" s="28"/>
      <c r="G81" s="28"/>
      <c r="H81" s="28"/>
      <c r="I81" s="28"/>
      <c r="J81" s="28"/>
      <c r="K81" s="28"/>
      <c r="L81" s="28"/>
      <c r="M81" s="28"/>
      <c r="N81" s="28"/>
      <c r="O81" s="28"/>
      <c r="P81" s="28"/>
      <c r="Q81" s="28"/>
      <c r="R81" s="28"/>
      <c r="S81" s="28"/>
      <c r="T81" s="28"/>
      <c r="U81" s="28"/>
      <c r="V81" s="28"/>
      <c r="W81" s="28"/>
      <c r="X81" s="28"/>
      <c r="Y81" s="28"/>
    </row>
    <row r="82" spans="1:25" ht="15.75" customHeight="1" x14ac:dyDescent="0.15">
      <c r="A82" s="28"/>
      <c r="B82" s="28"/>
      <c r="C82" s="28"/>
      <c r="D82" s="28"/>
      <c r="E82" s="28"/>
      <c r="F82" s="28"/>
      <c r="G82" s="28"/>
      <c r="H82" s="28"/>
      <c r="I82" s="28"/>
      <c r="J82" s="28"/>
      <c r="K82" s="28"/>
      <c r="L82" s="28"/>
      <c r="M82" s="28"/>
      <c r="N82" s="28"/>
      <c r="O82" s="28"/>
      <c r="P82" s="28"/>
      <c r="Q82" s="28"/>
      <c r="R82" s="28"/>
      <c r="S82" s="28"/>
      <c r="T82" s="28"/>
      <c r="U82" s="28"/>
      <c r="V82" s="28"/>
      <c r="W82" s="28"/>
      <c r="X82" s="28"/>
      <c r="Y82" s="28"/>
    </row>
    <row r="83" spans="1:25" ht="15.75" customHeight="1" x14ac:dyDescent="0.15">
      <c r="A83" s="28"/>
      <c r="B83" s="28"/>
      <c r="C83" s="28"/>
      <c r="D83" s="28"/>
      <c r="E83" s="28"/>
      <c r="F83" s="28"/>
      <c r="G83" s="28"/>
      <c r="H83" s="28"/>
      <c r="I83" s="28"/>
      <c r="J83" s="28"/>
      <c r="K83" s="28"/>
      <c r="L83" s="28"/>
      <c r="M83" s="28"/>
      <c r="N83" s="28"/>
      <c r="O83" s="28"/>
      <c r="P83" s="28"/>
      <c r="Q83" s="28"/>
      <c r="R83" s="28"/>
      <c r="S83" s="28"/>
      <c r="T83" s="28"/>
      <c r="U83" s="28"/>
      <c r="V83" s="28"/>
      <c r="W83" s="28"/>
      <c r="X83" s="28"/>
      <c r="Y83" s="28"/>
    </row>
    <row r="84" spans="1:25" ht="15.75" customHeight="1" x14ac:dyDescent="0.15">
      <c r="A84" s="28"/>
      <c r="B84" s="28"/>
      <c r="C84" s="28"/>
      <c r="D84" s="28"/>
      <c r="E84" s="28"/>
      <c r="F84" s="28"/>
      <c r="G84" s="28"/>
      <c r="H84" s="28"/>
      <c r="I84" s="28"/>
      <c r="J84" s="28"/>
      <c r="K84" s="28"/>
      <c r="L84" s="28"/>
      <c r="M84" s="28"/>
      <c r="N84" s="28"/>
      <c r="O84" s="28"/>
      <c r="P84" s="28"/>
      <c r="Q84" s="28"/>
      <c r="R84" s="28"/>
      <c r="S84" s="28"/>
      <c r="T84" s="28"/>
      <c r="U84" s="28"/>
      <c r="V84" s="28"/>
      <c r="W84" s="28"/>
      <c r="X84" s="28"/>
      <c r="Y84" s="28"/>
    </row>
    <row r="85" spans="1:25" ht="15.75" customHeight="1" x14ac:dyDescent="0.15">
      <c r="A85" s="28"/>
      <c r="B85" s="28"/>
      <c r="C85" s="28"/>
      <c r="D85" s="28"/>
      <c r="E85" s="28"/>
      <c r="F85" s="28"/>
      <c r="G85" s="28"/>
      <c r="H85" s="28"/>
      <c r="I85" s="28"/>
      <c r="J85" s="28"/>
      <c r="K85" s="28"/>
      <c r="L85" s="28"/>
      <c r="M85" s="28"/>
      <c r="N85" s="28"/>
      <c r="O85" s="28"/>
      <c r="P85" s="28"/>
      <c r="Q85" s="28"/>
      <c r="R85" s="28"/>
      <c r="S85" s="28"/>
      <c r="T85" s="28"/>
      <c r="U85" s="28"/>
      <c r="V85" s="28"/>
      <c r="W85" s="28"/>
      <c r="X85" s="28"/>
      <c r="Y85" s="28"/>
    </row>
    <row r="86" spans="1:25" ht="15.75" customHeight="1" x14ac:dyDescent="0.15">
      <c r="A86" s="28"/>
      <c r="B86" s="28"/>
      <c r="C86" s="28"/>
      <c r="D86" s="28"/>
      <c r="E86" s="28"/>
      <c r="F86" s="28"/>
      <c r="G86" s="28"/>
      <c r="H86" s="28"/>
      <c r="I86" s="28"/>
      <c r="J86" s="28"/>
      <c r="K86" s="28"/>
      <c r="L86" s="28"/>
      <c r="M86" s="28"/>
      <c r="N86" s="28"/>
      <c r="O86" s="28"/>
      <c r="P86" s="28"/>
      <c r="Q86" s="28"/>
      <c r="R86" s="28"/>
      <c r="S86" s="28"/>
      <c r="T86" s="28"/>
      <c r="U86" s="28"/>
      <c r="V86" s="28"/>
      <c r="W86" s="28"/>
      <c r="X86" s="28"/>
      <c r="Y86" s="28"/>
    </row>
    <row r="87" spans="1:25" ht="15.75" customHeight="1" x14ac:dyDescent="0.15">
      <c r="A87" s="28"/>
      <c r="B87" s="28"/>
      <c r="C87" s="28"/>
      <c r="D87" s="28"/>
      <c r="E87" s="28"/>
      <c r="F87" s="28"/>
      <c r="G87" s="28"/>
      <c r="H87" s="28"/>
      <c r="I87" s="28"/>
      <c r="J87" s="28"/>
      <c r="K87" s="28"/>
      <c r="L87" s="28"/>
      <c r="M87" s="28"/>
      <c r="N87" s="28"/>
      <c r="O87" s="28"/>
      <c r="P87" s="28"/>
      <c r="Q87" s="28"/>
      <c r="R87" s="28"/>
      <c r="S87" s="28"/>
      <c r="T87" s="28"/>
      <c r="U87" s="28"/>
      <c r="V87" s="28"/>
      <c r="W87" s="28"/>
      <c r="X87" s="28"/>
      <c r="Y87" s="28"/>
    </row>
    <row r="88" spans="1:25" ht="15.75" customHeight="1" x14ac:dyDescent="0.15">
      <c r="A88" s="28"/>
      <c r="B88" s="28"/>
      <c r="C88" s="28"/>
      <c r="D88" s="28"/>
      <c r="E88" s="28"/>
      <c r="F88" s="28"/>
      <c r="G88" s="28"/>
      <c r="H88" s="28"/>
      <c r="I88" s="28"/>
      <c r="J88" s="28"/>
      <c r="K88" s="28"/>
      <c r="L88" s="28"/>
      <c r="M88" s="28"/>
      <c r="N88" s="28"/>
      <c r="O88" s="28"/>
      <c r="P88" s="28"/>
      <c r="Q88" s="28"/>
      <c r="R88" s="28"/>
      <c r="S88" s="28"/>
      <c r="T88" s="28"/>
      <c r="U88" s="28"/>
      <c r="V88" s="28"/>
      <c r="W88" s="28"/>
      <c r="X88" s="28"/>
      <c r="Y88" s="28"/>
    </row>
    <row r="89" spans="1:25" ht="15.75" customHeight="1" x14ac:dyDescent="0.15">
      <c r="A89" s="28"/>
      <c r="B89" s="28"/>
      <c r="C89" s="28"/>
      <c r="D89" s="28"/>
      <c r="E89" s="28"/>
      <c r="F89" s="28"/>
      <c r="G89" s="28"/>
      <c r="H89" s="28"/>
      <c r="I89" s="28"/>
      <c r="J89" s="28"/>
      <c r="K89" s="28"/>
      <c r="L89" s="28"/>
      <c r="M89" s="28"/>
      <c r="N89" s="28"/>
      <c r="O89" s="28"/>
      <c r="P89" s="28"/>
      <c r="Q89" s="28"/>
      <c r="R89" s="28"/>
      <c r="S89" s="28"/>
      <c r="T89" s="28"/>
      <c r="U89" s="28"/>
      <c r="V89" s="28"/>
      <c r="W89" s="28"/>
      <c r="X89" s="28"/>
      <c r="Y89" s="28"/>
    </row>
    <row r="90" spans="1:25" ht="15.75" customHeight="1" x14ac:dyDescent="0.15">
      <c r="A90" s="28"/>
      <c r="B90" s="28"/>
      <c r="C90" s="28"/>
      <c r="D90" s="28"/>
      <c r="E90" s="28"/>
      <c r="F90" s="28"/>
      <c r="G90" s="28"/>
      <c r="H90" s="28"/>
      <c r="I90" s="28"/>
      <c r="J90" s="28"/>
      <c r="K90" s="28"/>
      <c r="L90" s="28"/>
      <c r="M90" s="28"/>
      <c r="N90" s="28"/>
      <c r="O90" s="28"/>
      <c r="P90" s="28"/>
      <c r="Q90" s="28"/>
      <c r="R90" s="28"/>
      <c r="S90" s="28"/>
      <c r="T90" s="28"/>
      <c r="U90" s="28"/>
      <c r="V90" s="28"/>
      <c r="W90" s="28"/>
      <c r="X90" s="28"/>
      <c r="Y90" s="28"/>
    </row>
    <row r="91" spans="1:25" ht="15.75" customHeight="1" x14ac:dyDescent="0.15">
      <c r="A91" s="28"/>
      <c r="B91" s="28"/>
      <c r="C91" s="28"/>
      <c r="D91" s="28"/>
      <c r="E91" s="28"/>
      <c r="F91" s="28"/>
      <c r="G91" s="28"/>
      <c r="H91" s="28"/>
      <c r="I91" s="28"/>
      <c r="J91" s="28"/>
      <c r="K91" s="28"/>
      <c r="L91" s="28"/>
      <c r="M91" s="28"/>
      <c r="N91" s="28"/>
      <c r="O91" s="28"/>
      <c r="P91" s="28"/>
      <c r="Q91" s="28"/>
      <c r="R91" s="28"/>
      <c r="S91" s="28"/>
      <c r="T91" s="28"/>
      <c r="U91" s="28"/>
      <c r="V91" s="28"/>
      <c r="W91" s="28"/>
      <c r="X91" s="28"/>
      <c r="Y91" s="28"/>
    </row>
    <row r="92" spans="1:25" ht="15.75" customHeight="1" x14ac:dyDescent="0.15">
      <c r="A92" s="28"/>
      <c r="B92" s="28"/>
      <c r="C92" s="28"/>
      <c r="D92" s="28"/>
      <c r="E92" s="28"/>
      <c r="F92" s="28"/>
      <c r="G92" s="28"/>
      <c r="H92" s="28"/>
      <c r="I92" s="28"/>
      <c r="J92" s="28"/>
      <c r="K92" s="28"/>
      <c r="L92" s="28"/>
      <c r="M92" s="28"/>
      <c r="N92" s="28"/>
      <c r="O92" s="28"/>
      <c r="P92" s="28"/>
      <c r="Q92" s="28"/>
      <c r="R92" s="28"/>
      <c r="S92" s="28"/>
      <c r="T92" s="28"/>
      <c r="U92" s="28"/>
      <c r="V92" s="28"/>
      <c r="W92" s="28"/>
      <c r="X92" s="28"/>
      <c r="Y92" s="28"/>
    </row>
    <row r="93" spans="1:25" ht="15.75" customHeight="1" x14ac:dyDescent="0.15">
      <c r="A93" s="28"/>
      <c r="B93" s="28"/>
      <c r="C93" s="28"/>
      <c r="D93" s="28"/>
      <c r="E93" s="28"/>
      <c r="F93" s="28"/>
      <c r="G93" s="28"/>
      <c r="H93" s="28"/>
      <c r="I93" s="28"/>
      <c r="J93" s="28"/>
      <c r="K93" s="28"/>
      <c r="L93" s="28"/>
      <c r="M93" s="28"/>
      <c r="N93" s="28"/>
      <c r="O93" s="28"/>
      <c r="P93" s="28"/>
      <c r="Q93" s="28"/>
      <c r="R93" s="28"/>
      <c r="S93" s="28"/>
      <c r="T93" s="28"/>
      <c r="U93" s="28"/>
      <c r="V93" s="28"/>
      <c r="W93" s="28"/>
      <c r="X93" s="28"/>
      <c r="Y93" s="28"/>
    </row>
    <row r="94" spans="1:25" ht="15.75" customHeight="1" x14ac:dyDescent="0.15">
      <c r="A94" s="28"/>
      <c r="B94" s="28"/>
      <c r="C94" s="28"/>
      <c r="D94" s="28"/>
      <c r="E94" s="28"/>
      <c r="F94" s="28"/>
      <c r="G94" s="28"/>
      <c r="H94" s="28"/>
      <c r="I94" s="28"/>
      <c r="J94" s="28"/>
      <c r="K94" s="28"/>
      <c r="L94" s="28"/>
      <c r="M94" s="28"/>
      <c r="N94" s="28"/>
      <c r="O94" s="28"/>
      <c r="P94" s="28"/>
      <c r="Q94" s="28"/>
      <c r="R94" s="28"/>
      <c r="S94" s="28"/>
      <c r="T94" s="28"/>
      <c r="U94" s="28"/>
      <c r="V94" s="28"/>
      <c r="W94" s="28"/>
      <c r="X94" s="28"/>
      <c r="Y94" s="28"/>
    </row>
    <row r="95" spans="1:25" ht="15.75" customHeight="1" x14ac:dyDescent="0.15">
      <c r="A95" s="28"/>
      <c r="B95" s="28"/>
      <c r="C95" s="28"/>
      <c r="D95" s="28"/>
      <c r="E95" s="28"/>
      <c r="F95" s="28"/>
      <c r="G95" s="28"/>
      <c r="H95" s="28"/>
      <c r="I95" s="28"/>
      <c r="J95" s="28"/>
      <c r="K95" s="28"/>
      <c r="L95" s="28"/>
      <c r="M95" s="28"/>
      <c r="N95" s="28"/>
      <c r="O95" s="28"/>
      <c r="P95" s="28"/>
      <c r="Q95" s="28"/>
      <c r="R95" s="28"/>
      <c r="S95" s="28"/>
      <c r="T95" s="28"/>
      <c r="U95" s="28"/>
      <c r="V95" s="28"/>
      <c r="W95" s="28"/>
      <c r="X95" s="28"/>
      <c r="Y95" s="28"/>
    </row>
    <row r="96" spans="1:25" ht="15.75" customHeight="1" x14ac:dyDescent="0.15">
      <c r="A96" s="28"/>
      <c r="B96" s="28"/>
      <c r="C96" s="28"/>
      <c r="D96" s="28"/>
      <c r="E96" s="28"/>
      <c r="F96" s="28"/>
      <c r="G96" s="28"/>
      <c r="H96" s="28"/>
      <c r="I96" s="28"/>
      <c r="J96" s="28"/>
      <c r="K96" s="28"/>
      <c r="L96" s="28"/>
      <c r="M96" s="28"/>
      <c r="N96" s="28"/>
      <c r="O96" s="28"/>
      <c r="P96" s="28"/>
      <c r="Q96" s="28"/>
      <c r="R96" s="28"/>
      <c r="S96" s="28"/>
      <c r="T96" s="28"/>
      <c r="U96" s="28"/>
      <c r="V96" s="28"/>
      <c r="W96" s="28"/>
      <c r="X96" s="28"/>
      <c r="Y96" s="28"/>
    </row>
    <row r="97" spans="1:25" ht="15.75" customHeight="1" x14ac:dyDescent="0.15">
      <c r="A97" s="28"/>
      <c r="B97" s="28"/>
      <c r="C97" s="28"/>
      <c r="D97" s="28"/>
      <c r="E97" s="28"/>
      <c r="F97" s="28"/>
      <c r="G97" s="28"/>
      <c r="H97" s="28"/>
      <c r="I97" s="28"/>
      <c r="J97" s="28"/>
      <c r="K97" s="28"/>
      <c r="L97" s="28"/>
      <c r="M97" s="28"/>
      <c r="N97" s="28"/>
      <c r="O97" s="28"/>
      <c r="P97" s="28"/>
      <c r="Q97" s="28"/>
      <c r="R97" s="28"/>
      <c r="S97" s="28"/>
      <c r="T97" s="28"/>
      <c r="U97" s="28"/>
      <c r="V97" s="28"/>
      <c r="W97" s="28"/>
      <c r="X97" s="28"/>
      <c r="Y97" s="28"/>
    </row>
    <row r="98" spans="1:25" ht="15.75" customHeight="1" x14ac:dyDescent="0.15">
      <c r="A98" s="28"/>
      <c r="B98" s="28"/>
      <c r="C98" s="28"/>
      <c r="D98" s="28"/>
      <c r="E98" s="28"/>
      <c r="F98" s="28"/>
      <c r="G98" s="28"/>
      <c r="H98" s="28"/>
      <c r="I98" s="28"/>
      <c r="J98" s="28"/>
      <c r="K98" s="28"/>
      <c r="L98" s="28"/>
      <c r="M98" s="28"/>
      <c r="N98" s="28"/>
      <c r="O98" s="28"/>
      <c r="P98" s="28"/>
      <c r="Q98" s="28"/>
      <c r="R98" s="28"/>
      <c r="S98" s="28"/>
      <c r="T98" s="28"/>
      <c r="U98" s="28"/>
      <c r="V98" s="28"/>
      <c r="W98" s="28"/>
      <c r="X98" s="28"/>
      <c r="Y98" s="28"/>
    </row>
    <row r="99" spans="1:25" ht="15.75" customHeight="1" x14ac:dyDescent="0.15">
      <c r="A99" s="28"/>
      <c r="B99" s="28"/>
      <c r="C99" s="28"/>
      <c r="D99" s="28"/>
      <c r="E99" s="28"/>
      <c r="F99" s="28"/>
      <c r="G99" s="28"/>
      <c r="H99" s="28"/>
      <c r="I99" s="28"/>
      <c r="J99" s="28"/>
      <c r="K99" s="28"/>
      <c r="L99" s="28"/>
      <c r="M99" s="28"/>
      <c r="N99" s="28"/>
      <c r="O99" s="28"/>
      <c r="P99" s="28"/>
      <c r="Q99" s="28"/>
      <c r="R99" s="28"/>
      <c r="S99" s="28"/>
      <c r="T99" s="28"/>
      <c r="U99" s="28"/>
      <c r="V99" s="28"/>
      <c r="W99" s="28"/>
      <c r="X99" s="28"/>
      <c r="Y99" s="28"/>
    </row>
    <row r="100" spans="1:25" ht="15.75" customHeight="1" x14ac:dyDescent="0.1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row>
    <row r="101" spans="1:25" ht="15.75" customHeight="1" x14ac:dyDescent="0.1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row>
    <row r="102" spans="1:25" ht="15.75" customHeight="1" x14ac:dyDescent="0.1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row>
    <row r="103" spans="1:25" ht="15.75" customHeight="1" x14ac:dyDescent="0.1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row>
    <row r="104" spans="1:25" ht="15.75" customHeight="1" x14ac:dyDescent="0.1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row>
    <row r="105" spans="1:25" ht="15.75" customHeight="1" x14ac:dyDescent="0.1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row>
    <row r="106" spans="1:25" ht="15.75" customHeight="1" x14ac:dyDescent="0.1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row>
    <row r="107" spans="1:25" ht="15.75" customHeight="1" x14ac:dyDescent="0.1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row>
    <row r="108" spans="1:25" ht="15.75" customHeight="1" x14ac:dyDescent="0.1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row>
    <row r="109" spans="1:25" ht="15.75" customHeight="1" x14ac:dyDescent="0.1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row>
    <row r="110" spans="1:25" ht="15.75" customHeight="1" x14ac:dyDescent="0.1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row>
    <row r="111" spans="1:25" ht="15.75" customHeight="1" x14ac:dyDescent="0.1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row>
    <row r="112" spans="1:25" ht="15.75" customHeight="1" x14ac:dyDescent="0.1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row>
    <row r="113" spans="1:25" ht="15.75" customHeight="1" x14ac:dyDescent="0.1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row>
    <row r="114" spans="1:25" ht="15.75" customHeight="1" x14ac:dyDescent="0.1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row>
    <row r="115" spans="1:25" ht="15.75" customHeight="1" x14ac:dyDescent="0.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row>
    <row r="116" spans="1:25" ht="15.75" customHeight="1" x14ac:dyDescent="0.1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row>
    <row r="117" spans="1:25" ht="15.75" customHeight="1" x14ac:dyDescent="0.1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row>
    <row r="118" spans="1:25" ht="15.75" customHeight="1" x14ac:dyDescent="0.1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row>
    <row r="119" spans="1:25" ht="15.75" customHeight="1" x14ac:dyDescent="0.1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row>
    <row r="120" spans="1:25" ht="15.75" customHeight="1" x14ac:dyDescent="0.1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row>
    <row r="121" spans="1:25" ht="15.75" customHeight="1" x14ac:dyDescent="0.1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row>
    <row r="122" spans="1:25" ht="15.75" customHeight="1" x14ac:dyDescent="0.1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row>
    <row r="123" spans="1:25" ht="15.75" customHeight="1" x14ac:dyDescent="0.1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row>
    <row r="124" spans="1:25" ht="15.75" customHeight="1" x14ac:dyDescent="0.1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row>
    <row r="125" spans="1:25" ht="15.75" customHeight="1" x14ac:dyDescent="0.1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row>
    <row r="126" spans="1:25" ht="15.75" customHeight="1" x14ac:dyDescent="0.1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row>
    <row r="127" spans="1:25" ht="15.75" customHeight="1" x14ac:dyDescent="0.1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row>
    <row r="128" spans="1:25" ht="15.75" customHeight="1" x14ac:dyDescent="0.1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row>
    <row r="129" spans="1:25" ht="15.75" customHeight="1" x14ac:dyDescent="0.1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row>
    <row r="130" spans="1:25" ht="15.75" customHeight="1" x14ac:dyDescent="0.1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row>
    <row r="131" spans="1:25" ht="15.75" customHeight="1" x14ac:dyDescent="0.1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row>
    <row r="132" spans="1:25" ht="15.75" customHeight="1" x14ac:dyDescent="0.1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row>
    <row r="133" spans="1:25" ht="15.75" customHeight="1" x14ac:dyDescent="0.1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row>
    <row r="134" spans="1:25" ht="15.75" customHeight="1" x14ac:dyDescent="0.1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row>
    <row r="135" spans="1:25" ht="15.75" customHeight="1" x14ac:dyDescent="0.1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row>
    <row r="136" spans="1:25" ht="15.75" customHeight="1" x14ac:dyDescent="0.1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row>
    <row r="137" spans="1:25" ht="15.75" customHeight="1" x14ac:dyDescent="0.1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row>
    <row r="138" spans="1:25" ht="15.75" customHeight="1" x14ac:dyDescent="0.1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row>
    <row r="139" spans="1:25" ht="15.75" customHeight="1" x14ac:dyDescent="0.1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row>
    <row r="140" spans="1:25" ht="15.75" customHeight="1" x14ac:dyDescent="0.1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row>
    <row r="141" spans="1:25" ht="15.75" customHeight="1" x14ac:dyDescent="0.1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row>
    <row r="142" spans="1:25" ht="15.75" customHeight="1" x14ac:dyDescent="0.1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row>
    <row r="143" spans="1:25" ht="15.75" customHeight="1" x14ac:dyDescent="0.1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row>
    <row r="144" spans="1:25" ht="15.75" customHeight="1" x14ac:dyDescent="0.1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row>
    <row r="145" spans="1:25" ht="15.75" customHeight="1" x14ac:dyDescent="0.1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row>
    <row r="146" spans="1:25" ht="15.75" customHeight="1" x14ac:dyDescent="0.1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row>
    <row r="147" spans="1:25" ht="15.75" customHeight="1" x14ac:dyDescent="0.1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row>
    <row r="148" spans="1:25" ht="15.75" customHeight="1" x14ac:dyDescent="0.1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row>
    <row r="149" spans="1:25" ht="15.75" customHeight="1" x14ac:dyDescent="0.1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row>
    <row r="150" spans="1:25" ht="15.75" customHeight="1" x14ac:dyDescent="0.1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row>
    <row r="151" spans="1:25" ht="15.75" customHeight="1" x14ac:dyDescent="0.1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row>
    <row r="152" spans="1:25" ht="15.75" customHeight="1" x14ac:dyDescent="0.1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row>
    <row r="153" spans="1:25" ht="15.75" customHeight="1" x14ac:dyDescent="0.1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row>
    <row r="154" spans="1:25" ht="15.75" customHeight="1" x14ac:dyDescent="0.1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row>
    <row r="155" spans="1:25" ht="15.75" customHeight="1" x14ac:dyDescent="0.1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row>
    <row r="156" spans="1:25" ht="15.75" customHeight="1" x14ac:dyDescent="0.1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row>
    <row r="157" spans="1:25" ht="15.75" customHeight="1" x14ac:dyDescent="0.1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row>
    <row r="158" spans="1:25" ht="15.75" customHeight="1" x14ac:dyDescent="0.1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row>
    <row r="159" spans="1:25" ht="15.75" customHeight="1" x14ac:dyDescent="0.1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row>
    <row r="160" spans="1:25" ht="15.75" customHeight="1" x14ac:dyDescent="0.1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row>
    <row r="161" spans="1:25" ht="15.75" customHeight="1" x14ac:dyDescent="0.1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row>
    <row r="162" spans="1:25" ht="15.75" customHeight="1" x14ac:dyDescent="0.1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row>
    <row r="163" spans="1:25" ht="15.75" customHeight="1" x14ac:dyDescent="0.1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row>
    <row r="164" spans="1:25" ht="15.75" customHeight="1" x14ac:dyDescent="0.1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row>
    <row r="165" spans="1:25" ht="15.75" customHeight="1" x14ac:dyDescent="0.1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row>
    <row r="166" spans="1:25" ht="15.75" customHeight="1" x14ac:dyDescent="0.1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row>
    <row r="167" spans="1:25" ht="15.75" customHeight="1" x14ac:dyDescent="0.1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row>
    <row r="168" spans="1:25" ht="15.75" customHeight="1" x14ac:dyDescent="0.1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row>
    <row r="169" spans="1:25" ht="15.75" customHeight="1" x14ac:dyDescent="0.1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row>
    <row r="170" spans="1:25" ht="15.75" customHeight="1" x14ac:dyDescent="0.1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row>
    <row r="171" spans="1:25" ht="15.75" customHeight="1" x14ac:dyDescent="0.1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row>
    <row r="172" spans="1:25" ht="15.75" customHeight="1" x14ac:dyDescent="0.1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row>
    <row r="173" spans="1:25" ht="15.75" customHeight="1" x14ac:dyDescent="0.1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row>
    <row r="174" spans="1:25" ht="15.75" customHeight="1" x14ac:dyDescent="0.1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row>
    <row r="175" spans="1:25" ht="15.75" customHeight="1" x14ac:dyDescent="0.1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row>
    <row r="176" spans="1:25" ht="15.75" customHeight="1" x14ac:dyDescent="0.1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row>
    <row r="177" spans="1:25" ht="15.75" customHeight="1" x14ac:dyDescent="0.1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row>
    <row r="178" spans="1:25" ht="15.75" customHeight="1" x14ac:dyDescent="0.1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row>
    <row r="179" spans="1:25" ht="15.75" customHeight="1" x14ac:dyDescent="0.1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row>
    <row r="180" spans="1:25" ht="15.75" customHeight="1" x14ac:dyDescent="0.1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row>
    <row r="181" spans="1:25" ht="15.75" customHeight="1" x14ac:dyDescent="0.1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row>
    <row r="182" spans="1:25" ht="15.75" customHeight="1" x14ac:dyDescent="0.1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row>
    <row r="183" spans="1:25" ht="15.75" customHeight="1" x14ac:dyDescent="0.1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row>
    <row r="184" spans="1:25" ht="15.75" customHeight="1" x14ac:dyDescent="0.1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row>
    <row r="185" spans="1:25" ht="15.75" customHeight="1" x14ac:dyDescent="0.1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row>
    <row r="186" spans="1:25" ht="15.75" customHeight="1" x14ac:dyDescent="0.1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row>
    <row r="187" spans="1:25" ht="15.75" customHeight="1" x14ac:dyDescent="0.1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row>
    <row r="188" spans="1:25" ht="15.75" customHeight="1" x14ac:dyDescent="0.1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row>
    <row r="189" spans="1:25" ht="15.75" customHeight="1" x14ac:dyDescent="0.1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row>
    <row r="190" spans="1:25" ht="15.75" customHeight="1" x14ac:dyDescent="0.1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row>
    <row r="191" spans="1:25" ht="15.75" customHeight="1" x14ac:dyDescent="0.1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row>
    <row r="192" spans="1:25" ht="15.75" customHeight="1" x14ac:dyDescent="0.1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row>
    <row r="193" spans="1:25" ht="15.75" customHeight="1" x14ac:dyDescent="0.1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row>
    <row r="194" spans="1:25" ht="15.75" customHeight="1" x14ac:dyDescent="0.1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row>
    <row r="195" spans="1:25" ht="15.75" customHeight="1" x14ac:dyDescent="0.1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row>
    <row r="196" spans="1:25" ht="15.75" customHeight="1" x14ac:dyDescent="0.1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row>
    <row r="197" spans="1:25" ht="15.75" customHeight="1" x14ac:dyDescent="0.1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row>
    <row r="198" spans="1:25" ht="15.75" customHeight="1" x14ac:dyDescent="0.1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row>
    <row r="199" spans="1:25" ht="15.75" customHeight="1" x14ac:dyDescent="0.1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row>
    <row r="200" spans="1:25" ht="15.75" customHeight="1" x14ac:dyDescent="0.1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row>
    <row r="201" spans="1:25" ht="15.75" customHeight="1" x14ac:dyDescent="0.1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row>
    <row r="202" spans="1:25" ht="15.75" customHeight="1" x14ac:dyDescent="0.1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row>
    <row r="203" spans="1:25" ht="15.75" customHeight="1" x14ac:dyDescent="0.1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row>
    <row r="204" spans="1:25" ht="15.75" customHeight="1" x14ac:dyDescent="0.1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row>
    <row r="205" spans="1:25" ht="15.75" customHeight="1" x14ac:dyDescent="0.1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row>
    <row r="206" spans="1:25" ht="15.75" customHeight="1" x14ac:dyDescent="0.1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row>
    <row r="207" spans="1:25" ht="15.75" customHeight="1" x14ac:dyDescent="0.1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row>
    <row r="208" spans="1:25" ht="15.75" customHeight="1" x14ac:dyDescent="0.1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row>
    <row r="209" spans="1:25" ht="15.75" customHeight="1" x14ac:dyDescent="0.1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row>
    <row r="210" spans="1:25" ht="15.75" customHeight="1" x14ac:dyDescent="0.1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row>
    <row r="211" spans="1:25" ht="15.75" customHeight="1" x14ac:dyDescent="0.1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row>
    <row r="212" spans="1:25" ht="15.75" customHeight="1" x14ac:dyDescent="0.1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row>
    <row r="213" spans="1:25" ht="15.75" customHeight="1" x14ac:dyDescent="0.1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row>
    <row r="214" spans="1:25" ht="15.75" customHeight="1" x14ac:dyDescent="0.1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row>
    <row r="215" spans="1:25" ht="15.75" customHeight="1" x14ac:dyDescent="0.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row>
    <row r="216" spans="1:25" ht="15.75" customHeight="1" x14ac:dyDescent="0.1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row>
    <row r="217" spans="1:25" ht="15.75" customHeight="1" x14ac:dyDescent="0.1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row>
    <row r="218" spans="1:25" ht="15.75" customHeight="1" x14ac:dyDescent="0.1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row>
    <row r="219" spans="1:25" ht="15.75" customHeight="1" x14ac:dyDescent="0.1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row>
    <row r="220" spans="1:25" ht="15.75" customHeight="1" x14ac:dyDescent="0.1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row>
    <row r="221" spans="1:25" ht="15.75" customHeight="1" x14ac:dyDescent="0.1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row>
    <row r="222" spans="1:25" ht="15.75" customHeight="1" x14ac:dyDescent="0.1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row>
    <row r="223" spans="1:25" ht="15.75" customHeight="1" x14ac:dyDescent="0.1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row>
    <row r="224" spans="1:25" ht="15.75" customHeight="1" x14ac:dyDescent="0.1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row>
    <row r="225" spans="1:25" ht="15.75" customHeight="1" x14ac:dyDescent="0.1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row>
    <row r="226" spans="1:25" ht="15.75" customHeight="1" x14ac:dyDescent="0.1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row>
    <row r="227" spans="1:25" ht="15.75" customHeight="1" x14ac:dyDescent="0.1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row>
    <row r="228" spans="1:25" ht="15.75" customHeight="1" x14ac:dyDescent="0.1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row>
    <row r="229" spans="1:25" ht="15.75" customHeight="1" x14ac:dyDescent="0.1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row>
    <row r="230" spans="1:25" ht="15.75" customHeight="1" x14ac:dyDescent="0.1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row>
    <row r="231" spans="1:25" ht="15.75" customHeight="1" x14ac:dyDescent="0.1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row>
    <row r="232" spans="1:25" ht="15.75" customHeight="1" x14ac:dyDescent="0.1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row>
    <row r="233" spans="1:25" ht="15.75" customHeight="1" x14ac:dyDescent="0.1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row>
    <row r="234" spans="1:25" ht="15.75" customHeight="1" x14ac:dyDescent="0.1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row>
    <row r="235" spans="1:25" ht="15.75" customHeight="1" x14ac:dyDescent="0.1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row>
    <row r="236" spans="1:25" ht="15.75" customHeight="1" x14ac:dyDescent="0.1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row>
    <row r="237" spans="1:25" ht="15.75" customHeight="1" x14ac:dyDescent="0.1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row>
    <row r="238" spans="1:25" ht="15.75" customHeight="1" x14ac:dyDescent="0.1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row>
    <row r="239" spans="1:25" ht="15.75" customHeight="1" x14ac:dyDescent="0.1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row>
    <row r="240" spans="1:25" ht="15.75" customHeight="1" x14ac:dyDescent="0.1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row>
    <row r="241" spans="1:25" ht="15.75" customHeight="1" x14ac:dyDescent="0.1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row>
    <row r="242" spans="1:25" ht="15.75" customHeight="1" x14ac:dyDescent="0.1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row>
    <row r="243" spans="1:25" ht="15.75" customHeight="1" x14ac:dyDescent="0.1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row>
    <row r="244" spans="1:25" ht="15.75" customHeight="1" x14ac:dyDescent="0.1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row>
    <row r="245" spans="1:25" ht="15.75" customHeight="1" x14ac:dyDescent="0.1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row>
    <row r="246" spans="1:25" ht="15.75" customHeight="1" x14ac:dyDescent="0.1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row>
    <row r="247" spans="1:25" ht="15.75" customHeight="1" x14ac:dyDescent="0.1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row>
    <row r="248" spans="1:25" ht="15.75" customHeight="1" x14ac:dyDescent="0.1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row>
    <row r="249" spans="1:25" ht="15.75" customHeight="1" x14ac:dyDescent="0.1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row>
    <row r="250" spans="1:25" ht="15.75" customHeight="1" x14ac:dyDescent="0.1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row>
    <row r="251" spans="1:25" ht="15.75" customHeight="1" x14ac:dyDescent="0.1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row>
    <row r="252" spans="1:25" ht="15.75" customHeight="1" x14ac:dyDescent="0.1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row>
    <row r="253" spans="1:25" ht="15.75" customHeight="1" x14ac:dyDescent="0.1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row>
    <row r="254" spans="1:25" ht="15.75" customHeight="1" x14ac:dyDescent="0.1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row>
    <row r="255" spans="1:25" ht="15.75" customHeight="1" x14ac:dyDescent="0.1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row>
    <row r="256" spans="1:25" ht="15.75" customHeight="1" x14ac:dyDescent="0.1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row>
    <row r="257" spans="1:25" ht="15.75" customHeight="1" x14ac:dyDescent="0.1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row>
    <row r="258" spans="1:25" ht="15.75" customHeight="1" x14ac:dyDescent="0.1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row>
    <row r="259" spans="1:25" ht="15.75" customHeight="1" x14ac:dyDescent="0.1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row>
    <row r="260" spans="1:25" ht="15.75" customHeight="1" x14ac:dyDescent="0.1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row>
    <row r="261" spans="1:25" ht="15.75" customHeight="1" x14ac:dyDescent="0.1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row>
    <row r="262" spans="1:25" ht="15.75" customHeight="1" x14ac:dyDescent="0.1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row>
    <row r="263" spans="1:25" ht="15.75" customHeight="1" x14ac:dyDescent="0.1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row>
    <row r="264" spans="1:25" ht="15.75" customHeight="1" x14ac:dyDescent="0.1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row>
    <row r="265" spans="1:25" ht="15.75" customHeight="1" x14ac:dyDescent="0.1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row>
    <row r="266" spans="1:25" ht="15.75" customHeight="1" x14ac:dyDescent="0.1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row>
    <row r="267" spans="1:25" ht="15.75" customHeight="1" x14ac:dyDescent="0.1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row>
    <row r="268" spans="1:25" ht="15.75" customHeight="1" x14ac:dyDescent="0.1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row>
    <row r="269" spans="1:25" ht="15.75" customHeight="1" x14ac:dyDescent="0.1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row>
    <row r="270" spans="1:25" ht="15.75" customHeight="1" x14ac:dyDescent="0.1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row>
    <row r="271" spans="1:25" ht="15.75" customHeight="1" x14ac:dyDescent="0.1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row>
    <row r="272" spans="1:25" ht="15.75" customHeight="1" x14ac:dyDescent="0.1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row>
    <row r="273" spans="1:25" ht="15.75" customHeight="1" x14ac:dyDescent="0.1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row>
    <row r="274" spans="1:25" ht="15.75" customHeight="1" x14ac:dyDescent="0.1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row>
    <row r="275" spans="1:25" ht="15.75" customHeight="1" x14ac:dyDescent="0.1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row>
    <row r="276" spans="1:25" ht="15.75" customHeight="1" x14ac:dyDescent="0.1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row>
    <row r="277" spans="1:25" ht="15.75" customHeight="1" x14ac:dyDescent="0.1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row>
    <row r="278" spans="1:25" ht="15.75" customHeight="1" x14ac:dyDescent="0.1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row>
    <row r="279" spans="1:25" ht="15.75" customHeight="1" x14ac:dyDescent="0.1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row>
    <row r="280" spans="1:25" ht="15.75" customHeight="1" x14ac:dyDescent="0.1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row>
    <row r="281" spans="1:25" ht="15.75" customHeight="1" x14ac:dyDescent="0.1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row>
    <row r="282" spans="1:25" ht="15.75" customHeight="1" x14ac:dyDescent="0.1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row>
    <row r="283" spans="1:25" ht="15.75" customHeight="1" x14ac:dyDescent="0.1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row>
    <row r="284" spans="1:25" ht="15.75" customHeight="1" x14ac:dyDescent="0.1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row>
    <row r="285" spans="1:25" ht="15.75" customHeight="1" x14ac:dyDescent="0.1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row>
    <row r="286" spans="1:25" ht="15.75" customHeight="1" x14ac:dyDescent="0.1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row>
    <row r="287" spans="1:25" ht="15.75" customHeight="1" x14ac:dyDescent="0.1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row>
    <row r="288" spans="1:25" ht="15.75" customHeight="1" x14ac:dyDescent="0.1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row>
    <row r="289" spans="1:25" ht="15.75" customHeight="1" x14ac:dyDescent="0.1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row>
    <row r="290" spans="1:25" ht="15.75" customHeight="1" x14ac:dyDescent="0.1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row>
    <row r="291" spans="1:25" ht="15.75" customHeight="1" x14ac:dyDescent="0.1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row>
    <row r="292" spans="1:25" ht="15.75" customHeight="1" x14ac:dyDescent="0.1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row>
    <row r="293" spans="1:25" ht="15.75" customHeight="1" x14ac:dyDescent="0.1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row>
    <row r="294" spans="1:25" ht="15.75" customHeight="1" x14ac:dyDescent="0.1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row>
    <row r="295" spans="1:25" ht="15.75" customHeight="1" x14ac:dyDescent="0.1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row>
    <row r="296" spans="1:25" ht="15.75" customHeight="1" x14ac:dyDescent="0.1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row>
    <row r="297" spans="1:25" ht="15.75" customHeight="1" x14ac:dyDescent="0.1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row>
    <row r="298" spans="1:25" ht="15.75" customHeight="1" x14ac:dyDescent="0.1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row>
    <row r="299" spans="1:25" ht="15.75" customHeight="1" x14ac:dyDescent="0.1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row>
    <row r="300" spans="1:25" ht="15.75" customHeight="1" x14ac:dyDescent="0.1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row>
    <row r="301" spans="1:25" ht="15.75" customHeight="1" x14ac:dyDescent="0.1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row>
    <row r="302" spans="1:25" ht="15.75" customHeight="1" x14ac:dyDescent="0.1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row>
    <row r="303" spans="1:25" ht="15.75" customHeight="1" x14ac:dyDescent="0.1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row>
    <row r="304" spans="1:25" ht="15.75" customHeight="1" x14ac:dyDescent="0.1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row>
    <row r="305" spans="1:25" ht="15.75" customHeight="1" x14ac:dyDescent="0.1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row>
    <row r="306" spans="1:25" ht="15.75" customHeight="1" x14ac:dyDescent="0.1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row>
    <row r="307" spans="1:25" ht="15.75" customHeight="1" x14ac:dyDescent="0.1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row>
    <row r="308" spans="1:25" ht="15.75" customHeight="1" x14ac:dyDescent="0.1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row>
    <row r="309" spans="1:25" ht="15.75" customHeight="1" x14ac:dyDescent="0.1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row>
    <row r="310" spans="1:25" ht="15.75" customHeight="1" x14ac:dyDescent="0.1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row>
    <row r="311" spans="1:25" ht="15.75" customHeight="1" x14ac:dyDescent="0.1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row>
    <row r="312" spans="1:25" ht="15.75" customHeight="1" x14ac:dyDescent="0.1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row>
    <row r="313" spans="1:25" ht="15.75" customHeight="1" x14ac:dyDescent="0.1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row>
    <row r="314" spans="1:25" ht="15.75" customHeight="1" x14ac:dyDescent="0.1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row>
    <row r="315" spans="1:25" ht="15.75" customHeight="1" x14ac:dyDescent="0.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row>
    <row r="316" spans="1:25" ht="15.75" customHeight="1" x14ac:dyDescent="0.1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row>
    <row r="317" spans="1:25" ht="15.75" customHeight="1" x14ac:dyDescent="0.1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row>
    <row r="318" spans="1:25" ht="15.75" customHeight="1" x14ac:dyDescent="0.1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row>
    <row r="319" spans="1:25" ht="15.75" customHeight="1" x14ac:dyDescent="0.1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row>
    <row r="320" spans="1:25" ht="15.75" customHeight="1" x14ac:dyDescent="0.1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row>
    <row r="321" spans="1:25" ht="15.75" customHeight="1" x14ac:dyDescent="0.1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row>
    <row r="322" spans="1:25" ht="15.75" customHeight="1" x14ac:dyDescent="0.1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row>
    <row r="323" spans="1:25" ht="15.75" customHeight="1" x14ac:dyDescent="0.1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row>
    <row r="324" spans="1:25" ht="15.75" customHeight="1" x14ac:dyDescent="0.1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row>
    <row r="325" spans="1:25" ht="15.75" customHeight="1" x14ac:dyDescent="0.1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row>
    <row r="326" spans="1:25" ht="15.75" customHeight="1" x14ac:dyDescent="0.1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row>
    <row r="327" spans="1:25" ht="15.75" customHeight="1" x14ac:dyDescent="0.1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row>
    <row r="328" spans="1:25" ht="15.75" customHeight="1" x14ac:dyDescent="0.1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row>
    <row r="329" spans="1:25" ht="15.75" customHeight="1" x14ac:dyDescent="0.1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row>
    <row r="330" spans="1:25" ht="15.75" customHeight="1" x14ac:dyDescent="0.1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row>
    <row r="331" spans="1:25" ht="15.75" customHeight="1" x14ac:dyDescent="0.1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row>
    <row r="332" spans="1:25" ht="15.75" customHeight="1" x14ac:dyDescent="0.1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row>
    <row r="333" spans="1:25" ht="15.75" customHeight="1" x14ac:dyDescent="0.1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row>
    <row r="334" spans="1:25" ht="15.75" customHeight="1" x14ac:dyDescent="0.1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row>
    <row r="335" spans="1:25" ht="15.75" customHeight="1" x14ac:dyDescent="0.1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row>
    <row r="336" spans="1:25" ht="15.75" customHeight="1" x14ac:dyDescent="0.1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row>
    <row r="337" spans="1:25" ht="15.75" customHeight="1" x14ac:dyDescent="0.1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row>
    <row r="338" spans="1:25" ht="15.75" customHeight="1" x14ac:dyDescent="0.1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row>
    <row r="339" spans="1:25" ht="15.75" customHeight="1" x14ac:dyDescent="0.1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row>
    <row r="340" spans="1:25" ht="15.75" customHeight="1" x14ac:dyDescent="0.1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row>
    <row r="341" spans="1:25" ht="15.75" customHeight="1" x14ac:dyDescent="0.1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row>
    <row r="342" spans="1:25" ht="15.75" customHeight="1" x14ac:dyDescent="0.1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row>
    <row r="343" spans="1:25" ht="15.75" customHeight="1" x14ac:dyDescent="0.1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row>
    <row r="344" spans="1:25" ht="15.75" customHeight="1" x14ac:dyDescent="0.1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row>
    <row r="345" spans="1:25" ht="15.75" customHeight="1" x14ac:dyDescent="0.1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row>
    <row r="346" spans="1:25" ht="15.75" customHeight="1" x14ac:dyDescent="0.1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row>
    <row r="347" spans="1:25" ht="15.75" customHeight="1" x14ac:dyDescent="0.1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row>
    <row r="348" spans="1:25" ht="15.75" customHeight="1" x14ac:dyDescent="0.1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row>
    <row r="349" spans="1:25" ht="15.75" customHeight="1" x14ac:dyDescent="0.1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row>
    <row r="350" spans="1:25" ht="15.75" customHeight="1" x14ac:dyDescent="0.1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row>
    <row r="351" spans="1:25" ht="15.75" customHeight="1" x14ac:dyDescent="0.1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row>
    <row r="352" spans="1:25" ht="15.75" customHeight="1" x14ac:dyDescent="0.1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row>
    <row r="353" spans="1:25" ht="15.75" customHeight="1" x14ac:dyDescent="0.1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row>
    <row r="354" spans="1:25" ht="15.75" customHeight="1" x14ac:dyDescent="0.1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row>
    <row r="355" spans="1:25" ht="15.75" customHeight="1" x14ac:dyDescent="0.1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row>
    <row r="356" spans="1:25" ht="15.75" customHeight="1" x14ac:dyDescent="0.1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row>
    <row r="357" spans="1:25" ht="15.75" customHeight="1" x14ac:dyDescent="0.1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row>
    <row r="358" spans="1:25" ht="15.75" customHeight="1" x14ac:dyDescent="0.1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row>
    <row r="359" spans="1:25" ht="15.75" customHeight="1" x14ac:dyDescent="0.1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row>
    <row r="360" spans="1:25" ht="15.75" customHeight="1" x14ac:dyDescent="0.1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row>
    <row r="361" spans="1:25" ht="15.75" customHeight="1" x14ac:dyDescent="0.1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row>
    <row r="362" spans="1:25" ht="15.75" customHeight="1" x14ac:dyDescent="0.1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row>
    <row r="363" spans="1:25" ht="15.75" customHeight="1" x14ac:dyDescent="0.1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row>
    <row r="364" spans="1:25" ht="15.75" customHeight="1" x14ac:dyDescent="0.1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row>
    <row r="365" spans="1:25" ht="15.75" customHeight="1" x14ac:dyDescent="0.1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row>
    <row r="366" spans="1:25" ht="15.75" customHeight="1" x14ac:dyDescent="0.1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row>
    <row r="367" spans="1:25" ht="15.75" customHeight="1" x14ac:dyDescent="0.1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row>
    <row r="368" spans="1:25" ht="15.75" customHeight="1" x14ac:dyDescent="0.1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row>
    <row r="369" spans="1:25" ht="15.75" customHeight="1" x14ac:dyDescent="0.1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row>
    <row r="370" spans="1:25" ht="15.75" customHeight="1" x14ac:dyDescent="0.1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row>
    <row r="371" spans="1:25" ht="15.75" customHeight="1" x14ac:dyDescent="0.1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row>
    <row r="372" spans="1:25" ht="15.75" customHeight="1" x14ac:dyDescent="0.1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row>
    <row r="373" spans="1:25" ht="15.75" customHeight="1" x14ac:dyDescent="0.1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row>
    <row r="374" spans="1:25" ht="15.75" customHeight="1" x14ac:dyDescent="0.1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row>
    <row r="375" spans="1:25" ht="15.75" customHeight="1" x14ac:dyDescent="0.1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row>
    <row r="376" spans="1:25" ht="15.75" customHeight="1" x14ac:dyDescent="0.1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row>
    <row r="377" spans="1:25" ht="15.75" customHeight="1" x14ac:dyDescent="0.1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row>
    <row r="378" spans="1:25" ht="15.75" customHeight="1" x14ac:dyDescent="0.1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row>
    <row r="379" spans="1:25" ht="15.75" customHeight="1" x14ac:dyDescent="0.1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row>
    <row r="380" spans="1:25" ht="15.75" customHeight="1" x14ac:dyDescent="0.1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row>
    <row r="381" spans="1:25" ht="15.75" customHeight="1" x14ac:dyDescent="0.1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row>
    <row r="382" spans="1:25" ht="15.75" customHeight="1" x14ac:dyDescent="0.1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row>
    <row r="383" spans="1:25" ht="15.75" customHeight="1" x14ac:dyDescent="0.1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row>
    <row r="384" spans="1:25" ht="15.75" customHeight="1" x14ac:dyDescent="0.1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row>
    <row r="385" spans="1:25" ht="15.75" customHeight="1" x14ac:dyDescent="0.1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row>
    <row r="386" spans="1:25" ht="15.75" customHeight="1" x14ac:dyDescent="0.1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row>
    <row r="387" spans="1:25" ht="15.75" customHeight="1" x14ac:dyDescent="0.1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row>
    <row r="388" spans="1:25" ht="15.75" customHeight="1" x14ac:dyDescent="0.1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row>
    <row r="389" spans="1:25" ht="15.75" customHeight="1" x14ac:dyDescent="0.1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row>
    <row r="390" spans="1:25" ht="15.75" customHeight="1" x14ac:dyDescent="0.1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row>
    <row r="391" spans="1:25" ht="15.75" customHeight="1" x14ac:dyDescent="0.1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row>
    <row r="392" spans="1:25" ht="15.75" customHeight="1" x14ac:dyDescent="0.1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row>
    <row r="393" spans="1:25" ht="15.75" customHeight="1" x14ac:dyDescent="0.1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row>
    <row r="394" spans="1:25" ht="15.75" customHeight="1" x14ac:dyDescent="0.1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row>
    <row r="395" spans="1:25" ht="15.75" customHeight="1" x14ac:dyDescent="0.1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row>
    <row r="396" spans="1:25" ht="15.75" customHeight="1" x14ac:dyDescent="0.1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row>
    <row r="397" spans="1:25" ht="15.75" customHeight="1" x14ac:dyDescent="0.1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row>
    <row r="398" spans="1:25" ht="15.75" customHeight="1" x14ac:dyDescent="0.1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row>
    <row r="399" spans="1:25" ht="15.75" customHeight="1" x14ac:dyDescent="0.1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row>
    <row r="400" spans="1:25" ht="15.75" customHeight="1" x14ac:dyDescent="0.1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row>
    <row r="401" spans="1:25" ht="15.75" customHeight="1" x14ac:dyDescent="0.1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row>
    <row r="402" spans="1:25" ht="15.75" customHeight="1" x14ac:dyDescent="0.1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row>
    <row r="403" spans="1:25" ht="15.75" customHeight="1" x14ac:dyDescent="0.1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row>
    <row r="404" spans="1:25" ht="15.75" customHeight="1" x14ac:dyDescent="0.1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row>
    <row r="405" spans="1:25" ht="15.75" customHeight="1" x14ac:dyDescent="0.1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row>
    <row r="406" spans="1:25" ht="15.75" customHeight="1" x14ac:dyDescent="0.1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row>
    <row r="407" spans="1:25" ht="15.75" customHeight="1" x14ac:dyDescent="0.1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row>
    <row r="408" spans="1:25" ht="15.75" customHeight="1" x14ac:dyDescent="0.1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row>
    <row r="409" spans="1:25" ht="15.75" customHeight="1" x14ac:dyDescent="0.1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row>
    <row r="410" spans="1:25" ht="15.75" customHeight="1" x14ac:dyDescent="0.1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row>
    <row r="411" spans="1:25" ht="15.75" customHeight="1" x14ac:dyDescent="0.1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row>
    <row r="412" spans="1:25" ht="15.75" customHeight="1" x14ac:dyDescent="0.1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row>
    <row r="413" spans="1:25" ht="15.75" customHeight="1" x14ac:dyDescent="0.1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row>
    <row r="414" spans="1:25" ht="15.75" customHeight="1" x14ac:dyDescent="0.1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row>
    <row r="415" spans="1:25" ht="15.75" customHeight="1" x14ac:dyDescent="0.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row>
    <row r="416" spans="1:25" ht="15.75" customHeight="1" x14ac:dyDescent="0.1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row>
    <row r="417" spans="1:25" ht="15.75" customHeight="1" x14ac:dyDescent="0.1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row>
    <row r="418" spans="1:25" ht="15.75" customHeight="1" x14ac:dyDescent="0.1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row>
    <row r="419" spans="1:25" ht="15.75" customHeight="1" x14ac:dyDescent="0.1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row>
    <row r="420" spans="1:25" ht="15.75" customHeight="1" x14ac:dyDescent="0.1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row>
    <row r="421" spans="1:25" ht="15.75" customHeight="1" x14ac:dyDescent="0.1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row>
    <row r="422" spans="1:25" ht="15.75" customHeight="1" x14ac:dyDescent="0.1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row>
    <row r="423" spans="1:25" ht="15.75" customHeight="1" x14ac:dyDescent="0.1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row>
    <row r="424" spans="1:25" ht="15.75" customHeight="1" x14ac:dyDescent="0.1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row>
    <row r="425" spans="1:25" ht="15.75" customHeight="1" x14ac:dyDescent="0.1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row>
    <row r="426" spans="1:25" ht="15.75" customHeight="1" x14ac:dyDescent="0.1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row>
    <row r="427" spans="1:25" ht="15.75" customHeight="1" x14ac:dyDescent="0.1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row>
    <row r="428" spans="1:25" ht="15.75" customHeight="1" x14ac:dyDescent="0.1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row>
    <row r="429" spans="1:25" ht="15.75" customHeight="1" x14ac:dyDescent="0.1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row>
    <row r="430" spans="1:25" ht="15.75" customHeight="1" x14ac:dyDescent="0.1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row>
    <row r="431" spans="1:25" ht="15.75" customHeight="1" x14ac:dyDescent="0.1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row>
    <row r="432" spans="1:25" ht="15.75" customHeight="1" x14ac:dyDescent="0.1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row>
    <row r="433" spans="1:25" ht="15.75" customHeight="1" x14ac:dyDescent="0.1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row>
    <row r="434" spans="1:25" ht="15.75" customHeight="1" x14ac:dyDescent="0.1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row>
    <row r="435" spans="1:25" ht="15.75" customHeight="1" x14ac:dyDescent="0.1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row>
    <row r="436" spans="1:25" ht="15.75" customHeight="1" x14ac:dyDescent="0.1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row>
    <row r="437" spans="1:25" ht="15.75" customHeight="1" x14ac:dyDescent="0.1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row>
    <row r="438" spans="1:25" ht="15.75" customHeight="1" x14ac:dyDescent="0.1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row>
    <row r="439" spans="1:25" ht="15.75" customHeight="1" x14ac:dyDescent="0.1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row>
    <row r="440" spans="1:25" ht="15.75" customHeight="1" x14ac:dyDescent="0.1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row>
    <row r="441" spans="1:25" ht="15.75" customHeight="1" x14ac:dyDescent="0.1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row>
    <row r="442" spans="1:25" ht="15.75" customHeight="1" x14ac:dyDescent="0.1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row>
    <row r="443" spans="1:25" ht="15.75" customHeight="1" x14ac:dyDescent="0.1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row>
    <row r="444" spans="1:25" ht="15.75" customHeight="1" x14ac:dyDescent="0.1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row>
    <row r="445" spans="1:25" ht="15.75" customHeight="1" x14ac:dyDescent="0.1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row>
    <row r="446" spans="1:25" ht="15.75" customHeight="1" x14ac:dyDescent="0.1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row>
    <row r="447" spans="1:25" ht="15.75" customHeight="1" x14ac:dyDescent="0.1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row>
    <row r="448" spans="1:25" ht="15.75" customHeight="1" x14ac:dyDescent="0.1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row>
    <row r="449" spans="1:25" ht="15.75" customHeight="1" x14ac:dyDescent="0.1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row>
    <row r="450" spans="1:25" ht="15.75" customHeight="1" x14ac:dyDescent="0.1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row>
    <row r="451" spans="1:25" ht="15.75" customHeight="1" x14ac:dyDescent="0.1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row>
    <row r="452" spans="1:25" ht="15.75" customHeight="1" x14ac:dyDescent="0.1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row>
    <row r="453" spans="1:25" ht="15.75" customHeight="1" x14ac:dyDescent="0.1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row>
    <row r="454" spans="1:25" ht="15.75" customHeight="1" x14ac:dyDescent="0.1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row>
    <row r="455" spans="1:25" ht="15.75" customHeight="1" x14ac:dyDescent="0.1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row>
    <row r="456" spans="1:25" ht="15.75" customHeight="1" x14ac:dyDescent="0.1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row>
    <row r="457" spans="1:25" ht="15.75" customHeight="1" x14ac:dyDescent="0.1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row>
    <row r="458" spans="1:25" ht="15.75" customHeight="1" x14ac:dyDescent="0.1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row>
    <row r="459" spans="1:25" ht="15.75" customHeight="1" x14ac:dyDescent="0.1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row>
    <row r="460" spans="1:25" ht="15.75" customHeight="1" x14ac:dyDescent="0.1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row>
    <row r="461" spans="1:25" ht="15.75" customHeight="1" x14ac:dyDescent="0.1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row>
    <row r="462" spans="1:25" ht="15.75" customHeight="1" x14ac:dyDescent="0.1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row>
    <row r="463" spans="1:25" ht="15.75" customHeight="1" x14ac:dyDescent="0.1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row>
    <row r="464" spans="1:25" ht="15.75" customHeight="1" x14ac:dyDescent="0.1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row>
    <row r="465" spans="1:25" ht="15.75" customHeight="1" x14ac:dyDescent="0.1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row>
    <row r="466" spans="1:25" ht="15.75" customHeight="1" x14ac:dyDescent="0.1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row>
    <row r="467" spans="1:25" ht="15.75" customHeight="1" x14ac:dyDescent="0.1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row>
    <row r="468" spans="1:25" ht="15.75" customHeight="1" x14ac:dyDescent="0.1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row>
    <row r="469" spans="1:25" ht="15.75" customHeight="1" x14ac:dyDescent="0.1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row>
    <row r="470" spans="1:25" ht="15.75" customHeight="1" x14ac:dyDescent="0.1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row>
    <row r="471" spans="1:25" ht="15.75" customHeight="1" x14ac:dyDescent="0.1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row>
    <row r="472" spans="1:25" ht="15.75" customHeight="1" x14ac:dyDescent="0.1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row>
    <row r="473" spans="1:25" ht="15.75" customHeight="1" x14ac:dyDescent="0.1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row>
    <row r="474" spans="1:25" ht="15.75" customHeight="1" x14ac:dyDescent="0.1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row>
    <row r="475" spans="1:25" ht="15.75" customHeight="1" x14ac:dyDescent="0.1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row>
    <row r="476" spans="1:25" ht="15.75" customHeight="1" x14ac:dyDescent="0.1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row>
    <row r="477" spans="1:25" ht="15.75" customHeight="1" x14ac:dyDescent="0.1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row>
    <row r="478" spans="1:25" ht="15.75" customHeight="1" x14ac:dyDescent="0.1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row>
    <row r="479" spans="1:25" ht="15.75" customHeight="1" x14ac:dyDescent="0.1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row>
    <row r="480" spans="1:25" ht="15.75" customHeight="1" x14ac:dyDescent="0.1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row>
    <row r="481" spans="1:25" ht="15.75" customHeight="1" x14ac:dyDescent="0.1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row>
    <row r="482" spans="1:25" ht="15.75" customHeight="1" x14ac:dyDescent="0.1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row>
    <row r="483" spans="1:25" ht="15.75" customHeight="1" x14ac:dyDescent="0.1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row>
    <row r="484" spans="1:25" ht="15.75" customHeight="1" x14ac:dyDescent="0.1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row>
    <row r="485" spans="1:25" ht="15.75" customHeight="1" x14ac:dyDescent="0.1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row>
    <row r="486" spans="1:25" ht="15.75" customHeight="1" x14ac:dyDescent="0.1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row>
    <row r="487" spans="1:25" ht="15.75" customHeight="1" x14ac:dyDescent="0.1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row>
    <row r="488" spans="1:25" ht="15.75" customHeight="1" x14ac:dyDescent="0.1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row>
    <row r="489" spans="1:25" ht="15.75" customHeight="1" x14ac:dyDescent="0.1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row>
    <row r="490" spans="1:25" ht="15.75" customHeight="1" x14ac:dyDescent="0.1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row>
    <row r="491" spans="1:25" ht="15.75" customHeight="1" x14ac:dyDescent="0.1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row>
    <row r="492" spans="1:25" ht="15.75" customHeight="1" x14ac:dyDescent="0.1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row>
    <row r="493" spans="1:25" ht="15.75" customHeight="1" x14ac:dyDescent="0.1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row>
    <row r="494" spans="1:25" ht="15.75" customHeight="1" x14ac:dyDescent="0.1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row>
    <row r="495" spans="1:25" ht="15.75" customHeight="1" x14ac:dyDescent="0.1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row>
    <row r="496" spans="1:25" ht="15.75" customHeight="1" x14ac:dyDescent="0.1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row>
    <row r="497" spans="1:25" ht="15.75" customHeight="1" x14ac:dyDescent="0.1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row>
    <row r="498" spans="1:25" ht="15.75" customHeight="1" x14ac:dyDescent="0.1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row>
    <row r="499" spans="1:25" ht="15.75" customHeight="1" x14ac:dyDescent="0.1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row>
    <row r="500" spans="1:25" ht="15.75" customHeight="1" x14ac:dyDescent="0.1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row>
    <row r="501" spans="1:25" ht="15.75" customHeight="1" x14ac:dyDescent="0.1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row>
    <row r="502" spans="1:25" ht="15.75" customHeight="1" x14ac:dyDescent="0.1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row>
    <row r="503" spans="1:25" ht="15.75" customHeight="1" x14ac:dyDescent="0.1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row>
    <row r="504" spans="1:25" ht="15.75" customHeight="1" x14ac:dyDescent="0.1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row>
    <row r="505" spans="1:25" ht="15.75" customHeight="1" x14ac:dyDescent="0.1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row>
    <row r="506" spans="1:25" ht="15.75" customHeight="1" x14ac:dyDescent="0.1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row>
    <row r="507" spans="1:25" ht="15.75" customHeight="1" x14ac:dyDescent="0.1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row>
    <row r="508" spans="1:25" ht="15.75" customHeight="1" x14ac:dyDescent="0.1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row>
    <row r="509" spans="1:25" ht="15.75" customHeight="1" x14ac:dyDescent="0.1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row>
    <row r="510" spans="1:25" ht="15.75" customHeight="1" x14ac:dyDescent="0.1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row>
    <row r="511" spans="1:25" ht="15.75" customHeight="1" x14ac:dyDescent="0.1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row>
    <row r="512" spans="1:25" ht="15.75" customHeight="1" x14ac:dyDescent="0.1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row>
    <row r="513" spans="1:25" ht="15.75" customHeight="1" x14ac:dyDescent="0.1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row>
    <row r="514" spans="1:25" ht="15.75" customHeight="1" x14ac:dyDescent="0.1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row>
    <row r="515" spans="1:25" ht="15.75" customHeight="1" x14ac:dyDescent="0.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row>
    <row r="516" spans="1:25" ht="15.75" customHeight="1" x14ac:dyDescent="0.1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row>
    <row r="517" spans="1:25" ht="15.75" customHeight="1" x14ac:dyDescent="0.1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row>
    <row r="518" spans="1:25" ht="15.75" customHeight="1" x14ac:dyDescent="0.1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row>
    <row r="519" spans="1:25" ht="15.75" customHeight="1" x14ac:dyDescent="0.1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row>
    <row r="520" spans="1:25" ht="15.75" customHeight="1" x14ac:dyDescent="0.1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row>
    <row r="521" spans="1:25" ht="15.75" customHeight="1" x14ac:dyDescent="0.1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row>
    <row r="522" spans="1:25" ht="15.75" customHeight="1" x14ac:dyDescent="0.1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row>
    <row r="523" spans="1:25" ht="15.75" customHeight="1" x14ac:dyDescent="0.1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row>
    <row r="524" spans="1:25" ht="15.75" customHeight="1" x14ac:dyDescent="0.1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row>
    <row r="525" spans="1:25" ht="15.75" customHeight="1" x14ac:dyDescent="0.1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row>
    <row r="526" spans="1:25" ht="15.75" customHeight="1" x14ac:dyDescent="0.1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row>
    <row r="527" spans="1:25" ht="15.75" customHeight="1" x14ac:dyDescent="0.1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row>
    <row r="528" spans="1:25" ht="15.75" customHeight="1" x14ac:dyDescent="0.1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row>
    <row r="529" spans="1:25" ht="15.75" customHeight="1" x14ac:dyDescent="0.1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row>
    <row r="530" spans="1:25" ht="15.75" customHeight="1" x14ac:dyDescent="0.1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row>
    <row r="531" spans="1:25" ht="15.75" customHeight="1" x14ac:dyDescent="0.1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row>
    <row r="532" spans="1:25" ht="15.75" customHeight="1" x14ac:dyDescent="0.1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row>
    <row r="533" spans="1:25" ht="15.75" customHeight="1" x14ac:dyDescent="0.1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row>
    <row r="534" spans="1:25" ht="15.75" customHeight="1" x14ac:dyDescent="0.1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row>
    <row r="535" spans="1:25" ht="15.75" customHeight="1" x14ac:dyDescent="0.1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row>
    <row r="536" spans="1:25" ht="15.75" customHeight="1" x14ac:dyDescent="0.1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row>
    <row r="537" spans="1:25" ht="15.75" customHeight="1" x14ac:dyDescent="0.1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row>
    <row r="538" spans="1:25" ht="15.75" customHeight="1" x14ac:dyDescent="0.1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row>
    <row r="539" spans="1:25" ht="15.75" customHeight="1" x14ac:dyDescent="0.1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row>
    <row r="540" spans="1:25" ht="15.75" customHeight="1" x14ac:dyDescent="0.1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row>
    <row r="541" spans="1:25" ht="15.75" customHeight="1" x14ac:dyDescent="0.1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row>
    <row r="542" spans="1:25" ht="15.75" customHeight="1" x14ac:dyDescent="0.1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row>
    <row r="543" spans="1:25" ht="15.75" customHeight="1" x14ac:dyDescent="0.1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row>
    <row r="544" spans="1:25" ht="15.75" customHeight="1" x14ac:dyDescent="0.1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row>
    <row r="545" spans="1:25" ht="15.75" customHeight="1" x14ac:dyDescent="0.1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row>
    <row r="546" spans="1:25" ht="15.75" customHeight="1" x14ac:dyDescent="0.1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row>
    <row r="547" spans="1:25" ht="15.75" customHeight="1" x14ac:dyDescent="0.1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row>
    <row r="548" spans="1:25" ht="15.75" customHeight="1" x14ac:dyDescent="0.1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row>
    <row r="549" spans="1:25" ht="15.75" customHeight="1" x14ac:dyDescent="0.1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row>
    <row r="550" spans="1:25" ht="15.75" customHeight="1" x14ac:dyDescent="0.1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row>
    <row r="551" spans="1:25" ht="15.75" customHeight="1" x14ac:dyDescent="0.1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row>
    <row r="552" spans="1:25" ht="15.75" customHeight="1" x14ac:dyDescent="0.1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row>
    <row r="553" spans="1:25" ht="15.75" customHeight="1" x14ac:dyDescent="0.1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row>
    <row r="554" spans="1:25" ht="15.75" customHeight="1" x14ac:dyDescent="0.1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row>
    <row r="555" spans="1:25" ht="15.75" customHeight="1" x14ac:dyDescent="0.1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row>
    <row r="556" spans="1:25" ht="15.75" customHeight="1" x14ac:dyDescent="0.1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row>
    <row r="557" spans="1:25" ht="15.75" customHeight="1" x14ac:dyDescent="0.1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row>
    <row r="558" spans="1:25" ht="15.75" customHeight="1" x14ac:dyDescent="0.1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row>
    <row r="559" spans="1:25" ht="15.75" customHeight="1" x14ac:dyDescent="0.1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row>
    <row r="560" spans="1:25" ht="15.75" customHeight="1" x14ac:dyDescent="0.1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row>
    <row r="561" spans="1:25" ht="15.75" customHeight="1" x14ac:dyDescent="0.1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row>
    <row r="562" spans="1:25" ht="15.75" customHeight="1" x14ac:dyDescent="0.1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row>
    <row r="563" spans="1:25" ht="15.75" customHeight="1" x14ac:dyDescent="0.1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row>
    <row r="564" spans="1:25" ht="15.75" customHeight="1" x14ac:dyDescent="0.1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row>
    <row r="565" spans="1:25" ht="15.75" customHeight="1" x14ac:dyDescent="0.1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row>
    <row r="566" spans="1:25" ht="15.75" customHeight="1" x14ac:dyDescent="0.1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row>
    <row r="567" spans="1:25" ht="15.75" customHeight="1" x14ac:dyDescent="0.1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row>
    <row r="568" spans="1:25" ht="15.75" customHeight="1" x14ac:dyDescent="0.1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row>
    <row r="569" spans="1:25" ht="15.75" customHeight="1" x14ac:dyDescent="0.1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row>
    <row r="570" spans="1:25" ht="15.75" customHeight="1" x14ac:dyDescent="0.1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row>
    <row r="571" spans="1:25" ht="15.75" customHeight="1" x14ac:dyDescent="0.1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row>
    <row r="572" spans="1:25" ht="15.75" customHeight="1" x14ac:dyDescent="0.1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row>
    <row r="573" spans="1:25" ht="15.75" customHeight="1" x14ac:dyDescent="0.1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row>
    <row r="574" spans="1:25" ht="15.75" customHeight="1" x14ac:dyDescent="0.1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row>
    <row r="575" spans="1:25" ht="15.75" customHeight="1" x14ac:dyDescent="0.1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row>
    <row r="576" spans="1:25" ht="15.75" customHeight="1" x14ac:dyDescent="0.1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row>
    <row r="577" spans="1:25" ht="15.75" customHeight="1" x14ac:dyDescent="0.1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row>
    <row r="578" spans="1:25" ht="15.75" customHeight="1" x14ac:dyDescent="0.1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row>
    <row r="579" spans="1:25" ht="15.75" customHeight="1" x14ac:dyDescent="0.1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row>
    <row r="580" spans="1:25" ht="15.75" customHeight="1" x14ac:dyDescent="0.1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row>
    <row r="581" spans="1:25" ht="15.75" customHeight="1" x14ac:dyDescent="0.1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row>
    <row r="582" spans="1:25" ht="15.75" customHeight="1" x14ac:dyDescent="0.1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row>
    <row r="583" spans="1:25" ht="15.75" customHeight="1" x14ac:dyDescent="0.1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row>
    <row r="584" spans="1:25" ht="15.75" customHeight="1" x14ac:dyDescent="0.1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row>
    <row r="585" spans="1:25" ht="15.75" customHeight="1" x14ac:dyDescent="0.1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row>
    <row r="586" spans="1:25" ht="15.75" customHeight="1" x14ac:dyDescent="0.1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row>
    <row r="587" spans="1:25" ht="15.75" customHeight="1" x14ac:dyDescent="0.1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row>
    <row r="588" spans="1:25" ht="15.75" customHeight="1" x14ac:dyDescent="0.1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row>
    <row r="589" spans="1:25" ht="15.75" customHeight="1" x14ac:dyDescent="0.1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row>
    <row r="590" spans="1:25" ht="15.75" customHeight="1" x14ac:dyDescent="0.1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row>
    <row r="591" spans="1:25" ht="15.75" customHeight="1" x14ac:dyDescent="0.1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row>
    <row r="592" spans="1:25" ht="15.75" customHeight="1" x14ac:dyDescent="0.1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row>
    <row r="593" spans="1:25" ht="15.75" customHeight="1" x14ac:dyDescent="0.1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row>
    <row r="594" spans="1:25" ht="15.75" customHeight="1" x14ac:dyDescent="0.1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row>
    <row r="595" spans="1:25" ht="15.75" customHeight="1" x14ac:dyDescent="0.1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row>
    <row r="596" spans="1:25" ht="15.75" customHeight="1" x14ac:dyDescent="0.1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row>
    <row r="597" spans="1:25" ht="15.75" customHeight="1" x14ac:dyDescent="0.1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row>
    <row r="598" spans="1:25" ht="15.75" customHeight="1" x14ac:dyDescent="0.1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row>
    <row r="599" spans="1:25" ht="15.75" customHeight="1" x14ac:dyDescent="0.1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row>
    <row r="600" spans="1:25" ht="15.75" customHeight="1" x14ac:dyDescent="0.1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row>
    <row r="601" spans="1:25" ht="15.75" customHeight="1" x14ac:dyDescent="0.1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row>
    <row r="602" spans="1:25" ht="15.75" customHeight="1" x14ac:dyDescent="0.1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row>
    <row r="603" spans="1:25" ht="15.75" customHeight="1" x14ac:dyDescent="0.1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row>
    <row r="604" spans="1:25" ht="15.75" customHeight="1" x14ac:dyDescent="0.1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row>
    <row r="605" spans="1:25" ht="15.75" customHeight="1" x14ac:dyDescent="0.1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row>
    <row r="606" spans="1:25" ht="15.75" customHeight="1" x14ac:dyDescent="0.1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row>
    <row r="607" spans="1:25" ht="15.75" customHeight="1" x14ac:dyDescent="0.1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row>
    <row r="608" spans="1:25" ht="15.75" customHeight="1" x14ac:dyDescent="0.1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row>
    <row r="609" spans="1:25" ht="15.75" customHeight="1" x14ac:dyDescent="0.1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row>
    <row r="610" spans="1:25" ht="15.75" customHeight="1" x14ac:dyDescent="0.1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row>
    <row r="611" spans="1:25" ht="15.75" customHeight="1" x14ac:dyDescent="0.1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row>
    <row r="612" spans="1:25" ht="15.75" customHeight="1" x14ac:dyDescent="0.1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row>
    <row r="613" spans="1:25" ht="15.75" customHeight="1" x14ac:dyDescent="0.1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row>
    <row r="614" spans="1:25" ht="15.75" customHeight="1" x14ac:dyDescent="0.1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row>
    <row r="615" spans="1:25" ht="15.75" customHeight="1" x14ac:dyDescent="0.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row>
    <row r="616" spans="1:25" ht="15.75" customHeight="1" x14ac:dyDescent="0.1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row>
    <row r="617" spans="1:25" ht="15.75" customHeight="1" x14ac:dyDescent="0.1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row>
    <row r="618" spans="1:25" ht="15.75" customHeight="1" x14ac:dyDescent="0.1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row>
    <row r="619" spans="1:25" ht="15.75" customHeight="1" x14ac:dyDescent="0.1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row>
    <row r="620" spans="1:25" ht="15.75" customHeight="1" x14ac:dyDescent="0.1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row>
    <row r="621" spans="1:25" ht="15.75" customHeight="1" x14ac:dyDescent="0.1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row>
    <row r="622" spans="1:25" ht="15.75" customHeight="1" x14ac:dyDescent="0.1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row>
    <row r="623" spans="1:25" ht="15.75" customHeight="1" x14ac:dyDescent="0.1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row>
    <row r="624" spans="1:25" ht="15.75" customHeight="1" x14ac:dyDescent="0.1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row>
    <row r="625" spans="1:25" ht="15.75" customHeight="1" x14ac:dyDescent="0.1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row>
    <row r="626" spans="1:25" ht="15.75" customHeight="1" x14ac:dyDescent="0.1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row>
    <row r="627" spans="1:25" ht="15.75" customHeight="1" x14ac:dyDescent="0.1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row>
    <row r="628" spans="1:25" ht="15.75" customHeight="1" x14ac:dyDescent="0.1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row>
    <row r="629" spans="1:25" ht="15.75" customHeight="1" x14ac:dyDescent="0.1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row>
    <row r="630" spans="1:25" ht="15.75" customHeight="1" x14ac:dyDescent="0.1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row>
    <row r="631" spans="1:25" ht="15.75" customHeight="1" x14ac:dyDescent="0.1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row>
    <row r="632" spans="1:25" ht="15.75" customHeight="1" x14ac:dyDescent="0.1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row>
    <row r="633" spans="1:25" ht="15.75" customHeight="1" x14ac:dyDescent="0.1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row>
    <row r="634" spans="1:25" ht="15.75" customHeight="1" x14ac:dyDescent="0.1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row>
    <row r="635" spans="1:25" ht="15.75" customHeight="1" x14ac:dyDescent="0.1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row>
    <row r="636" spans="1:25" ht="15.75" customHeight="1" x14ac:dyDescent="0.1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row>
    <row r="637" spans="1:25" ht="15.75" customHeight="1" x14ac:dyDescent="0.1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row>
    <row r="638" spans="1:25" ht="15.75" customHeight="1" x14ac:dyDescent="0.1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row>
    <row r="639" spans="1:25" ht="15.75" customHeight="1" x14ac:dyDescent="0.1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row>
    <row r="640" spans="1:25" ht="15.75" customHeight="1" x14ac:dyDescent="0.1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row>
    <row r="641" spans="1:25" ht="15.75" customHeight="1" x14ac:dyDescent="0.1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row>
    <row r="642" spans="1:25" ht="15.75" customHeight="1" x14ac:dyDescent="0.1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row>
    <row r="643" spans="1:25" ht="15.75" customHeight="1" x14ac:dyDescent="0.1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row>
    <row r="644" spans="1:25" ht="15.75" customHeight="1" x14ac:dyDescent="0.1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row>
    <row r="645" spans="1:25" ht="15.75" customHeight="1" x14ac:dyDescent="0.1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row>
    <row r="646" spans="1:25" ht="15.75" customHeight="1" x14ac:dyDescent="0.1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row>
    <row r="647" spans="1:25" ht="15.75" customHeight="1" x14ac:dyDescent="0.1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row>
    <row r="648" spans="1:25" ht="15.75" customHeight="1" x14ac:dyDescent="0.1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row>
    <row r="649" spans="1:25" ht="15.75" customHeight="1" x14ac:dyDescent="0.1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row>
    <row r="650" spans="1:25" ht="15.75" customHeight="1" x14ac:dyDescent="0.1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row>
    <row r="651" spans="1:25" ht="15.75" customHeight="1" x14ac:dyDescent="0.1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row>
    <row r="652" spans="1:25" ht="15.75" customHeight="1" x14ac:dyDescent="0.1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row>
    <row r="653" spans="1:25" ht="15.75" customHeight="1" x14ac:dyDescent="0.1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row>
    <row r="654" spans="1:25" ht="15.75" customHeight="1" x14ac:dyDescent="0.1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row>
    <row r="655" spans="1:25" ht="15.75" customHeight="1" x14ac:dyDescent="0.1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row>
    <row r="656" spans="1:25" ht="15.75" customHeight="1" x14ac:dyDescent="0.1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row>
    <row r="657" spans="1:25" ht="15.75" customHeight="1" x14ac:dyDescent="0.1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row>
    <row r="658" spans="1:25" ht="15.75" customHeight="1" x14ac:dyDescent="0.1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row>
    <row r="659" spans="1:25" ht="15.75" customHeight="1" x14ac:dyDescent="0.1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row>
    <row r="660" spans="1:25" ht="15.75" customHeight="1" x14ac:dyDescent="0.1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row>
    <row r="661" spans="1:25" ht="15.75" customHeight="1" x14ac:dyDescent="0.1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row>
    <row r="662" spans="1:25" ht="15.75" customHeight="1" x14ac:dyDescent="0.1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row>
    <row r="663" spans="1:25" ht="15.75" customHeight="1" x14ac:dyDescent="0.1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row>
    <row r="664" spans="1:25" ht="15.75" customHeight="1" x14ac:dyDescent="0.1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row>
    <row r="665" spans="1:25" ht="15.75" customHeight="1" x14ac:dyDescent="0.1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row>
    <row r="666" spans="1:25" ht="15.75" customHeight="1" x14ac:dyDescent="0.1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row>
    <row r="667" spans="1:25" ht="15.75" customHeight="1" x14ac:dyDescent="0.1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row>
    <row r="668" spans="1:25" ht="15.75" customHeight="1" x14ac:dyDescent="0.1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row>
    <row r="669" spans="1:25" ht="15.75" customHeight="1" x14ac:dyDescent="0.1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row>
    <row r="670" spans="1:25" ht="15.75" customHeight="1" x14ac:dyDescent="0.1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row>
    <row r="671" spans="1:25" ht="15.75" customHeight="1" x14ac:dyDescent="0.1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row>
    <row r="672" spans="1:25" ht="15.75" customHeight="1" x14ac:dyDescent="0.1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row>
    <row r="673" spans="1:25" ht="15.75" customHeight="1" x14ac:dyDescent="0.1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row>
    <row r="674" spans="1:25" ht="15.75" customHeight="1" x14ac:dyDescent="0.1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row>
    <row r="675" spans="1:25" ht="15.75" customHeight="1" x14ac:dyDescent="0.1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row>
    <row r="676" spans="1:25" ht="15.75" customHeight="1" x14ac:dyDescent="0.1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row>
    <row r="677" spans="1:25" ht="15.75" customHeight="1" x14ac:dyDescent="0.1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row>
    <row r="678" spans="1:25" ht="15.75" customHeight="1" x14ac:dyDescent="0.1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row>
    <row r="679" spans="1:25" ht="15.75" customHeight="1" x14ac:dyDescent="0.1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row>
    <row r="680" spans="1:25" ht="15.75" customHeight="1" x14ac:dyDescent="0.1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row>
    <row r="681" spans="1:25" ht="15.75" customHeight="1" x14ac:dyDescent="0.1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row>
    <row r="682" spans="1:25" ht="15.75" customHeight="1" x14ac:dyDescent="0.1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row>
    <row r="683" spans="1:25" ht="15.75" customHeight="1" x14ac:dyDescent="0.1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row>
    <row r="684" spans="1:25" ht="15.75" customHeight="1" x14ac:dyDescent="0.1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row>
    <row r="685" spans="1:25" ht="15.75" customHeight="1" x14ac:dyDescent="0.1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row>
    <row r="686" spans="1:25" ht="15.75" customHeight="1" x14ac:dyDescent="0.1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row>
    <row r="687" spans="1:25" ht="15.75" customHeight="1" x14ac:dyDescent="0.1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row>
    <row r="688" spans="1:25" ht="15.75" customHeight="1" x14ac:dyDescent="0.1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row>
    <row r="689" spans="1:25" ht="15.75" customHeight="1" x14ac:dyDescent="0.1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row>
    <row r="690" spans="1:25" ht="15.75" customHeight="1" x14ac:dyDescent="0.1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row>
    <row r="691" spans="1:25" ht="15.75" customHeight="1" x14ac:dyDescent="0.1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row>
    <row r="692" spans="1:25" ht="15.75" customHeight="1" x14ac:dyDescent="0.1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row>
    <row r="693" spans="1:25" ht="15.75" customHeight="1" x14ac:dyDescent="0.1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row>
    <row r="694" spans="1:25" ht="15.75" customHeight="1" x14ac:dyDescent="0.1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row>
    <row r="695" spans="1:25" ht="15.75" customHeight="1" x14ac:dyDescent="0.1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row>
    <row r="696" spans="1:25" ht="15.75" customHeight="1" x14ac:dyDescent="0.1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row>
    <row r="697" spans="1:25" ht="15.75" customHeight="1" x14ac:dyDescent="0.1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row>
    <row r="698" spans="1:25" ht="15.75" customHeight="1" x14ac:dyDescent="0.1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row>
    <row r="699" spans="1:25" ht="15.75" customHeight="1" x14ac:dyDescent="0.1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row>
    <row r="700" spans="1:25" ht="15.75" customHeight="1" x14ac:dyDescent="0.1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row>
    <row r="701" spans="1:25" ht="15.75" customHeight="1" x14ac:dyDescent="0.1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row>
    <row r="702" spans="1:25" ht="15.75" customHeight="1" x14ac:dyDescent="0.1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row>
    <row r="703" spans="1:25" ht="15.75" customHeight="1" x14ac:dyDescent="0.1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row>
    <row r="704" spans="1:25" ht="15.75" customHeight="1" x14ac:dyDescent="0.1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row>
    <row r="705" spans="1:25" ht="15.75" customHeight="1" x14ac:dyDescent="0.1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row>
    <row r="706" spans="1:25" ht="15.75" customHeight="1" x14ac:dyDescent="0.1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row>
    <row r="707" spans="1:25" ht="15.75" customHeight="1" x14ac:dyDescent="0.1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row>
    <row r="708" spans="1:25" ht="15.75" customHeight="1" x14ac:dyDescent="0.1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row>
    <row r="709" spans="1:25" ht="15.75" customHeight="1" x14ac:dyDescent="0.1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row>
    <row r="710" spans="1:25" ht="15.75" customHeight="1" x14ac:dyDescent="0.1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row>
    <row r="711" spans="1:25" ht="15.75" customHeight="1" x14ac:dyDescent="0.1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row>
    <row r="712" spans="1:25" ht="15.75" customHeight="1" x14ac:dyDescent="0.1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row>
    <row r="713" spans="1:25" ht="15.75" customHeight="1" x14ac:dyDescent="0.1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row>
    <row r="714" spans="1:25" ht="15.75" customHeight="1" x14ac:dyDescent="0.1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row>
    <row r="715" spans="1:25" ht="15.75" customHeight="1" x14ac:dyDescent="0.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row>
    <row r="716" spans="1:25" ht="15.75" customHeight="1" x14ac:dyDescent="0.1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row>
    <row r="717" spans="1:25" ht="15.75" customHeight="1" x14ac:dyDescent="0.1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row>
    <row r="718" spans="1:25" ht="15.75" customHeight="1" x14ac:dyDescent="0.1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row>
    <row r="719" spans="1:25" ht="15.75" customHeight="1" x14ac:dyDescent="0.1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row>
    <row r="720" spans="1:25" ht="15.75" customHeight="1" x14ac:dyDescent="0.1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row>
    <row r="721" spans="1:25" ht="15.75" customHeight="1" x14ac:dyDescent="0.1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row>
    <row r="722" spans="1:25" ht="15.75" customHeight="1" x14ac:dyDescent="0.1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row>
    <row r="723" spans="1:25" ht="15.75" customHeight="1" x14ac:dyDescent="0.1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row>
    <row r="724" spans="1:25" ht="15.75" customHeight="1" x14ac:dyDescent="0.1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row>
    <row r="725" spans="1:25" ht="15.75" customHeight="1" x14ac:dyDescent="0.1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row>
    <row r="726" spans="1:25" ht="15.75" customHeight="1" x14ac:dyDescent="0.1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row>
    <row r="727" spans="1:25" ht="15.75" customHeight="1" x14ac:dyDescent="0.1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row>
    <row r="728" spans="1:25" ht="15.75" customHeight="1" x14ac:dyDescent="0.1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row>
    <row r="729" spans="1:25" ht="15.75" customHeight="1" x14ac:dyDescent="0.1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row>
    <row r="730" spans="1:25" ht="15.75" customHeight="1" x14ac:dyDescent="0.1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row>
    <row r="731" spans="1:25" ht="15.75" customHeight="1" x14ac:dyDescent="0.1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row>
    <row r="732" spans="1:25" ht="15.75" customHeight="1" x14ac:dyDescent="0.1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row>
    <row r="733" spans="1:25" ht="15.75" customHeight="1" x14ac:dyDescent="0.1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row>
    <row r="734" spans="1:25" ht="15.75" customHeight="1" x14ac:dyDescent="0.1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row>
    <row r="735" spans="1:25" ht="15.75" customHeight="1" x14ac:dyDescent="0.1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row>
    <row r="736" spans="1:25" ht="15.75" customHeight="1" x14ac:dyDescent="0.1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row>
    <row r="737" spans="1:25" ht="15.75" customHeight="1" x14ac:dyDescent="0.1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row>
    <row r="738" spans="1:25" ht="15.75" customHeight="1" x14ac:dyDescent="0.1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row>
    <row r="739" spans="1:25" ht="15.75" customHeight="1" x14ac:dyDescent="0.1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row>
    <row r="740" spans="1:25" ht="15.75" customHeight="1" x14ac:dyDescent="0.1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row>
    <row r="741" spans="1:25" ht="15.75" customHeight="1" x14ac:dyDescent="0.1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row>
    <row r="742" spans="1:25" ht="15.75" customHeight="1" x14ac:dyDescent="0.1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row>
    <row r="743" spans="1:25" ht="15.75" customHeight="1" x14ac:dyDescent="0.1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row>
    <row r="744" spans="1:25" ht="15.75" customHeight="1" x14ac:dyDescent="0.1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row>
    <row r="745" spans="1:25" ht="15.75" customHeight="1" x14ac:dyDescent="0.1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row>
    <row r="746" spans="1:25" ht="15.75" customHeight="1" x14ac:dyDescent="0.1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row>
    <row r="747" spans="1:25" ht="15.75" customHeight="1" x14ac:dyDescent="0.1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row>
    <row r="748" spans="1:25" ht="15.75" customHeight="1" x14ac:dyDescent="0.1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row>
    <row r="749" spans="1:25" ht="15.75" customHeight="1" x14ac:dyDescent="0.1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row>
    <row r="750" spans="1:25" ht="15.75" customHeight="1" x14ac:dyDescent="0.1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row>
    <row r="751" spans="1:25" ht="15.75" customHeight="1" x14ac:dyDescent="0.1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row>
    <row r="752" spans="1:25" ht="15.75" customHeight="1" x14ac:dyDescent="0.1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row>
    <row r="753" spans="1:25" ht="15.75" customHeight="1" x14ac:dyDescent="0.1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row>
    <row r="754" spans="1:25" ht="15.75" customHeight="1" x14ac:dyDescent="0.1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row>
    <row r="755" spans="1:25" ht="15.75" customHeight="1" x14ac:dyDescent="0.1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row>
    <row r="756" spans="1:25" ht="15.75" customHeight="1" x14ac:dyDescent="0.1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row>
    <row r="757" spans="1:25" ht="15.75" customHeight="1" x14ac:dyDescent="0.1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row>
    <row r="758" spans="1:25" ht="15.75" customHeight="1" x14ac:dyDescent="0.1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row>
    <row r="759" spans="1:25" ht="15.75" customHeight="1" x14ac:dyDescent="0.1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row>
    <row r="760" spans="1:25" ht="15.75" customHeight="1" x14ac:dyDescent="0.1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row>
    <row r="761" spans="1:25" ht="15.75" customHeight="1" x14ac:dyDescent="0.1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row>
    <row r="762" spans="1:25" ht="15.75" customHeight="1" x14ac:dyDescent="0.1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row>
    <row r="763" spans="1:25" ht="15.75" customHeight="1" x14ac:dyDescent="0.1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row>
    <row r="764" spans="1:25" ht="15.75" customHeight="1" x14ac:dyDescent="0.1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row>
    <row r="765" spans="1:25" ht="15.75" customHeight="1" x14ac:dyDescent="0.1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row>
    <row r="766" spans="1:25" ht="15.75" customHeight="1" x14ac:dyDescent="0.1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row>
    <row r="767" spans="1:25" ht="15.75" customHeight="1" x14ac:dyDescent="0.1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row>
    <row r="768" spans="1:25" ht="15.75" customHeight="1" x14ac:dyDescent="0.1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row>
    <row r="769" spans="1:25" ht="15.75" customHeight="1" x14ac:dyDescent="0.1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row>
    <row r="770" spans="1:25" ht="15.75" customHeight="1" x14ac:dyDescent="0.1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row>
    <row r="771" spans="1:25" ht="15.75" customHeight="1" x14ac:dyDescent="0.1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row>
    <row r="772" spans="1:25" ht="15.75" customHeight="1" x14ac:dyDescent="0.1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row>
    <row r="773" spans="1:25" ht="15.75" customHeight="1" x14ac:dyDescent="0.1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row>
    <row r="774" spans="1:25" ht="15.75" customHeight="1" x14ac:dyDescent="0.1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row>
    <row r="775" spans="1:25" ht="15.75" customHeight="1" x14ac:dyDescent="0.1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row>
    <row r="776" spans="1:25" ht="15.75" customHeight="1" x14ac:dyDescent="0.1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row>
    <row r="777" spans="1:25" ht="15.75" customHeight="1" x14ac:dyDescent="0.1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row>
    <row r="778" spans="1:25" ht="15.75" customHeight="1" x14ac:dyDescent="0.1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row>
    <row r="779" spans="1:25" ht="15.75" customHeight="1" x14ac:dyDescent="0.1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row>
    <row r="780" spans="1:25" ht="15.75" customHeight="1" x14ac:dyDescent="0.1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row>
    <row r="781" spans="1:25" ht="15.75" customHeight="1" x14ac:dyDescent="0.1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row>
    <row r="782" spans="1:25" ht="15.75" customHeight="1" x14ac:dyDescent="0.1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row>
    <row r="783" spans="1:25" ht="15.75" customHeight="1" x14ac:dyDescent="0.1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row>
    <row r="784" spans="1:25" ht="15.75" customHeight="1" x14ac:dyDescent="0.1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row>
    <row r="785" spans="1:25" ht="15.75" customHeight="1" x14ac:dyDescent="0.1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row>
    <row r="786" spans="1:25" ht="15.75" customHeight="1" x14ac:dyDescent="0.1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row>
    <row r="787" spans="1:25" ht="15.75" customHeight="1" x14ac:dyDescent="0.1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row>
    <row r="788" spans="1:25" ht="15.75" customHeight="1" x14ac:dyDescent="0.1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row>
    <row r="789" spans="1:25" ht="15.75" customHeight="1" x14ac:dyDescent="0.1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row>
    <row r="790" spans="1:25" ht="15.75" customHeight="1" x14ac:dyDescent="0.1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row>
    <row r="791" spans="1:25" ht="15.75" customHeight="1" x14ac:dyDescent="0.1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row>
    <row r="792" spans="1:25" ht="15.75" customHeight="1" x14ac:dyDescent="0.1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row>
    <row r="793" spans="1:25" ht="15.75" customHeight="1" x14ac:dyDescent="0.1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row>
    <row r="794" spans="1:25" ht="15.75" customHeight="1" x14ac:dyDescent="0.1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row>
    <row r="795" spans="1:25" ht="15.75" customHeight="1" x14ac:dyDescent="0.1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row>
    <row r="796" spans="1:25" ht="15.75" customHeight="1" x14ac:dyDescent="0.1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row>
    <row r="797" spans="1:25" ht="15.75" customHeight="1" x14ac:dyDescent="0.1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row>
    <row r="798" spans="1:25" ht="15.75" customHeight="1" x14ac:dyDescent="0.1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row>
    <row r="799" spans="1:25" ht="15.75" customHeight="1" x14ac:dyDescent="0.1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row>
    <row r="800" spans="1:25" ht="15.75" customHeight="1" x14ac:dyDescent="0.1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row>
    <row r="801" spans="1:25" ht="15.75" customHeight="1" x14ac:dyDescent="0.1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row>
    <row r="802" spans="1:25" ht="15.75" customHeight="1" x14ac:dyDescent="0.1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row>
    <row r="803" spans="1:25" ht="15.75" customHeight="1" x14ac:dyDescent="0.1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row>
    <row r="804" spans="1:25" ht="15.75" customHeight="1" x14ac:dyDescent="0.1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row>
    <row r="805" spans="1:25" ht="15.75" customHeight="1" x14ac:dyDescent="0.1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row>
    <row r="806" spans="1:25" ht="15.75" customHeight="1" x14ac:dyDescent="0.1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row>
    <row r="807" spans="1:25" ht="15.75" customHeight="1" x14ac:dyDescent="0.1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row>
    <row r="808" spans="1:25" ht="15.75" customHeight="1" x14ac:dyDescent="0.1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row>
    <row r="809" spans="1:25" ht="15.75" customHeight="1" x14ac:dyDescent="0.1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row>
    <row r="810" spans="1:25" ht="15.75" customHeight="1" x14ac:dyDescent="0.1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row>
    <row r="811" spans="1:25" ht="15.75" customHeight="1" x14ac:dyDescent="0.1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row>
    <row r="812" spans="1:25" ht="15.75" customHeight="1" x14ac:dyDescent="0.1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row>
    <row r="813" spans="1:25" ht="15.75" customHeight="1" x14ac:dyDescent="0.1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row>
    <row r="814" spans="1:25" ht="15.75" customHeight="1" x14ac:dyDescent="0.1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row>
    <row r="815" spans="1:25" ht="15.75" customHeight="1" x14ac:dyDescent="0.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row>
    <row r="816" spans="1:25" ht="15.75" customHeight="1" x14ac:dyDescent="0.1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row>
    <row r="817" spans="1:25" ht="15.75" customHeight="1" x14ac:dyDescent="0.1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row>
    <row r="818" spans="1:25" ht="15.75" customHeight="1" x14ac:dyDescent="0.1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row>
    <row r="819" spans="1:25" ht="15.75" customHeight="1" x14ac:dyDescent="0.1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row>
    <row r="820" spans="1:25" ht="15.75" customHeight="1" x14ac:dyDescent="0.1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row>
    <row r="821" spans="1:25" ht="15.75" customHeight="1" x14ac:dyDescent="0.1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row>
    <row r="822" spans="1:25" ht="15.75" customHeight="1" x14ac:dyDescent="0.1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row>
    <row r="823" spans="1:25" ht="15.75" customHeight="1" x14ac:dyDescent="0.1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row>
    <row r="824" spans="1:25" ht="15.75" customHeight="1" x14ac:dyDescent="0.1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row>
    <row r="825" spans="1:25" ht="15.75" customHeight="1" x14ac:dyDescent="0.1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row>
    <row r="826" spans="1:25" ht="15.75" customHeight="1" x14ac:dyDescent="0.1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row>
    <row r="827" spans="1:25" ht="15.75" customHeight="1" x14ac:dyDescent="0.1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row>
    <row r="828" spans="1:25" ht="15.75" customHeight="1" x14ac:dyDescent="0.1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row>
    <row r="829" spans="1:25" ht="15.75" customHeight="1" x14ac:dyDescent="0.1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row>
    <row r="830" spans="1:25" ht="15.75" customHeight="1" x14ac:dyDescent="0.1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row>
    <row r="831" spans="1:25" ht="15.75" customHeight="1" x14ac:dyDescent="0.1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row>
    <row r="832" spans="1:25" ht="15.75" customHeight="1" x14ac:dyDescent="0.1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row>
    <row r="833" spans="1:25" ht="15.75" customHeight="1" x14ac:dyDescent="0.1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row>
    <row r="834" spans="1:25" ht="15.75" customHeight="1" x14ac:dyDescent="0.1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row>
    <row r="835" spans="1:25" ht="15.75" customHeight="1" x14ac:dyDescent="0.1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row>
    <row r="836" spans="1:25" ht="15.75" customHeight="1" x14ac:dyDescent="0.1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row>
    <row r="837" spans="1:25" ht="15.75" customHeight="1" x14ac:dyDescent="0.1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row>
    <row r="838" spans="1:25" ht="15.75" customHeight="1" x14ac:dyDescent="0.1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row>
    <row r="839" spans="1:25" ht="15.75" customHeight="1" x14ac:dyDescent="0.1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row>
    <row r="840" spans="1:25" ht="15.75" customHeight="1" x14ac:dyDescent="0.1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row>
    <row r="841" spans="1:25" ht="15.75" customHeight="1" x14ac:dyDescent="0.1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row>
    <row r="842" spans="1:25" ht="15.75" customHeight="1" x14ac:dyDescent="0.1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row>
    <row r="843" spans="1:25" ht="15.75" customHeight="1" x14ac:dyDescent="0.1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row>
    <row r="844" spans="1:25" ht="15.75" customHeight="1" x14ac:dyDescent="0.1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row>
    <row r="845" spans="1:25" ht="15.75" customHeight="1" x14ac:dyDescent="0.1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row>
    <row r="846" spans="1:25" ht="15.75" customHeight="1" x14ac:dyDescent="0.1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row>
    <row r="847" spans="1:25" ht="15.75" customHeight="1" x14ac:dyDescent="0.1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row>
    <row r="848" spans="1:25" ht="15.75" customHeight="1" x14ac:dyDescent="0.1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row>
    <row r="849" spans="1:25" ht="15.75" customHeight="1" x14ac:dyDescent="0.1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row>
    <row r="850" spans="1:25" ht="15.75" customHeight="1" x14ac:dyDescent="0.1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row>
    <row r="851" spans="1:25" ht="15.75" customHeight="1" x14ac:dyDescent="0.1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row>
    <row r="852" spans="1:25" ht="15.75" customHeight="1" x14ac:dyDescent="0.1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row>
    <row r="853" spans="1:25" ht="15.75" customHeight="1" x14ac:dyDescent="0.1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row>
    <row r="854" spans="1:25" ht="15.75" customHeight="1" x14ac:dyDescent="0.1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row>
    <row r="855" spans="1:25" ht="15.75" customHeight="1" x14ac:dyDescent="0.1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row>
    <row r="856" spans="1:25" ht="15.75" customHeight="1" x14ac:dyDescent="0.1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row>
    <row r="857" spans="1:25" ht="15.75" customHeight="1" x14ac:dyDescent="0.1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row>
    <row r="858" spans="1:25" ht="15.75" customHeight="1" x14ac:dyDescent="0.1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row>
    <row r="859" spans="1:25" ht="15.75" customHeight="1" x14ac:dyDescent="0.1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row>
    <row r="860" spans="1:25" ht="15.75" customHeight="1" x14ac:dyDescent="0.1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row>
    <row r="861" spans="1:25" ht="15.75" customHeight="1" x14ac:dyDescent="0.1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row>
    <row r="862" spans="1:25" ht="15.75" customHeight="1" x14ac:dyDescent="0.1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row>
    <row r="863" spans="1:25" ht="15.75" customHeight="1" x14ac:dyDescent="0.1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row>
    <row r="864" spans="1:25" ht="15.75" customHeight="1" x14ac:dyDescent="0.1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row>
    <row r="865" spans="1:25" ht="15.75" customHeight="1" x14ac:dyDescent="0.1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row>
    <row r="866" spans="1:25" ht="15.75" customHeight="1" x14ac:dyDescent="0.1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row>
    <row r="867" spans="1:25" ht="15.75" customHeight="1" x14ac:dyDescent="0.1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row>
    <row r="868" spans="1:25" ht="15.75" customHeight="1" x14ac:dyDescent="0.1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row>
    <row r="869" spans="1:25" ht="15.75" customHeight="1" x14ac:dyDescent="0.1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row>
    <row r="870" spans="1:25" ht="15.75" customHeight="1" x14ac:dyDescent="0.1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row>
    <row r="871" spans="1:25" ht="15.75" customHeight="1" x14ac:dyDescent="0.1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row>
    <row r="872" spans="1:25" ht="15.75" customHeight="1" x14ac:dyDescent="0.1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row>
    <row r="873" spans="1:25" ht="15.75" customHeight="1" x14ac:dyDescent="0.1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row>
    <row r="874" spans="1:25" ht="15.75" customHeight="1" x14ac:dyDescent="0.1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row>
    <row r="875" spans="1:25" ht="15.75" customHeight="1" x14ac:dyDescent="0.1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row>
    <row r="876" spans="1:25" ht="15.75" customHeight="1" x14ac:dyDescent="0.1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row>
    <row r="877" spans="1:25" ht="15.75" customHeight="1" x14ac:dyDescent="0.1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row>
    <row r="878" spans="1:25" ht="15.75" customHeight="1" x14ac:dyDescent="0.1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row>
    <row r="879" spans="1:25" ht="15.75" customHeight="1" x14ac:dyDescent="0.1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row>
    <row r="880" spans="1:25" ht="15.75" customHeight="1" x14ac:dyDescent="0.1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row>
    <row r="881" spans="1:25" ht="15.75" customHeight="1" x14ac:dyDescent="0.1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row>
    <row r="882" spans="1:25" ht="15.75" customHeight="1" x14ac:dyDescent="0.1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row>
    <row r="883" spans="1:25" ht="15.75" customHeight="1" x14ac:dyDescent="0.1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row>
    <row r="884" spans="1:25" ht="15.75" customHeight="1" x14ac:dyDescent="0.1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row>
    <row r="885" spans="1:25" ht="15.75" customHeight="1" x14ac:dyDescent="0.1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row>
    <row r="886" spans="1:25" ht="15.75" customHeight="1" x14ac:dyDescent="0.1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row>
    <row r="887" spans="1:25" ht="15.75" customHeight="1" x14ac:dyDescent="0.1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row>
    <row r="888" spans="1:25" ht="15.75" customHeight="1" x14ac:dyDescent="0.1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row>
    <row r="889" spans="1:25" ht="15.75" customHeight="1" x14ac:dyDescent="0.1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row>
    <row r="890" spans="1:25" ht="15.75" customHeight="1" x14ac:dyDescent="0.1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row>
    <row r="891" spans="1:25" ht="15.75" customHeight="1" x14ac:dyDescent="0.1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row>
    <row r="892" spans="1:25" ht="15.75" customHeight="1" x14ac:dyDescent="0.1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row>
    <row r="893" spans="1:25" ht="15.75" customHeight="1" x14ac:dyDescent="0.1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row>
    <row r="894" spans="1:25" ht="15.75" customHeight="1" x14ac:dyDescent="0.1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row>
    <row r="895" spans="1:25" ht="15.75" customHeight="1" x14ac:dyDescent="0.1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row>
    <row r="896" spans="1:25" ht="15.75" customHeight="1" x14ac:dyDescent="0.1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row>
    <row r="897" spans="1:25" ht="15.75" customHeight="1" x14ac:dyDescent="0.1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row>
    <row r="898" spans="1:25" ht="15.75" customHeight="1" x14ac:dyDescent="0.1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row>
    <row r="899" spans="1:25" ht="15.75" customHeight="1" x14ac:dyDescent="0.1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row>
    <row r="900" spans="1:25" ht="15.75" customHeight="1" x14ac:dyDescent="0.1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row>
    <row r="901" spans="1:25" ht="15.75" customHeight="1" x14ac:dyDescent="0.1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row>
    <row r="902" spans="1:25" ht="15.75" customHeight="1" x14ac:dyDescent="0.1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row>
    <row r="903" spans="1:25" ht="15.75" customHeight="1" x14ac:dyDescent="0.1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row>
    <row r="904" spans="1:25" ht="15.75" customHeight="1" x14ac:dyDescent="0.1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row>
    <row r="905" spans="1:25" ht="15.75" customHeight="1" x14ac:dyDescent="0.1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row>
    <row r="906" spans="1:25" ht="15.75" customHeight="1" x14ac:dyDescent="0.1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row>
    <row r="907" spans="1:25" ht="15.75" customHeight="1" x14ac:dyDescent="0.1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row>
    <row r="908" spans="1:25" ht="15.75" customHeight="1" x14ac:dyDescent="0.1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row>
    <row r="909" spans="1:25" ht="15.75" customHeight="1" x14ac:dyDescent="0.1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row>
    <row r="910" spans="1:25" ht="15.75" customHeight="1" x14ac:dyDescent="0.1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row>
    <row r="911" spans="1:25" ht="15.75" customHeight="1" x14ac:dyDescent="0.1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row>
    <row r="912" spans="1:25" ht="15.75" customHeight="1" x14ac:dyDescent="0.1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row>
    <row r="913" spans="1:25" ht="15.75" customHeight="1" x14ac:dyDescent="0.1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row>
    <row r="914" spans="1:25" ht="15.75" customHeight="1" x14ac:dyDescent="0.1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row>
    <row r="915" spans="1:25" ht="15.75" customHeight="1" x14ac:dyDescent="0.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row>
    <row r="916" spans="1:25" ht="15.75" customHeight="1" x14ac:dyDescent="0.1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row>
    <row r="917" spans="1:25" ht="15.75" customHeight="1" x14ac:dyDescent="0.1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row>
    <row r="918" spans="1:25" ht="15.75" customHeight="1" x14ac:dyDescent="0.1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row>
    <row r="919" spans="1:25" ht="15.75" customHeight="1" x14ac:dyDescent="0.1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row>
    <row r="920" spans="1:25" ht="15.75" customHeight="1" x14ac:dyDescent="0.1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row>
    <row r="921" spans="1:25" ht="15.75" customHeight="1" x14ac:dyDescent="0.1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row>
    <row r="922" spans="1:25" ht="15.75" customHeight="1" x14ac:dyDescent="0.1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row>
    <row r="923" spans="1:25" ht="15.75" customHeight="1" x14ac:dyDescent="0.1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row>
    <row r="924" spans="1:25" ht="15.75" customHeight="1" x14ac:dyDescent="0.1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row>
    <row r="925" spans="1:25" ht="15.75" customHeight="1" x14ac:dyDescent="0.1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row>
    <row r="926" spans="1:25" ht="15.75" customHeight="1" x14ac:dyDescent="0.1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row>
    <row r="927" spans="1:25" ht="15.75" customHeight="1" x14ac:dyDescent="0.1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row>
    <row r="928" spans="1:25" ht="15.75" customHeight="1" x14ac:dyDescent="0.1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row>
    <row r="929" spans="1:25" ht="15.75" customHeight="1" x14ac:dyDescent="0.1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row>
    <row r="930" spans="1:25" ht="15.75" customHeight="1" x14ac:dyDescent="0.1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row>
    <row r="931" spans="1:25" ht="15.75" customHeight="1" x14ac:dyDescent="0.1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row>
    <row r="932" spans="1:25" ht="15.75" customHeight="1" x14ac:dyDescent="0.1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row>
    <row r="933" spans="1:25" ht="15.75" customHeight="1" x14ac:dyDescent="0.1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row>
    <row r="934" spans="1:25" ht="15.75" customHeight="1" x14ac:dyDescent="0.1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row>
    <row r="935" spans="1:25" ht="15.75" customHeight="1" x14ac:dyDescent="0.1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row>
    <row r="936" spans="1:25" ht="15.75" customHeight="1" x14ac:dyDescent="0.1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row>
    <row r="937" spans="1:25" ht="15.75" customHeight="1" x14ac:dyDescent="0.1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row>
    <row r="938" spans="1:25" ht="15.75" customHeight="1" x14ac:dyDescent="0.1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row>
    <row r="939" spans="1:25" ht="15.75" customHeight="1" x14ac:dyDescent="0.1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row>
    <row r="940" spans="1:25" ht="15.75" customHeight="1" x14ac:dyDescent="0.1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row>
    <row r="941" spans="1:25" ht="15.75" customHeight="1" x14ac:dyDescent="0.1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row>
    <row r="942" spans="1:25" ht="15.75" customHeight="1" x14ac:dyDescent="0.1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row>
    <row r="943" spans="1:25" ht="15.75" customHeight="1" x14ac:dyDescent="0.1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row>
    <row r="944" spans="1:25" ht="15.75" customHeight="1" x14ac:dyDescent="0.1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row>
    <row r="945" spans="1:25" ht="15.75" customHeight="1" x14ac:dyDescent="0.1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row>
    <row r="946" spans="1:25" ht="15.75" customHeight="1" x14ac:dyDescent="0.1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row>
    <row r="947" spans="1:25" ht="15.75" customHeight="1" x14ac:dyDescent="0.1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row>
    <row r="948" spans="1:25" ht="15.75" customHeight="1" x14ac:dyDescent="0.1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row>
    <row r="949" spans="1:25" ht="15.75" customHeight="1" x14ac:dyDescent="0.1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row>
    <row r="950" spans="1:25" ht="15.75" customHeight="1" x14ac:dyDescent="0.1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row>
    <row r="951" spans="1:25" ht="15.75" customHeight="1" x14ac:dyDescent="0.1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row>
    <row r="952" spans="1:25" ht="15.75" customHeight="1" x14ac:dyDescent="0.1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row>
    <row r="953" spans="1:25" ht="15.75" customHeight="1" x14ac:dyDescent="0.1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row>
    <row r="954" spans="1:25" ht="15.75" customHeight="1" x14ac:dyDescent="0.1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row>
    <row r="955" spans="1:25" ht="15.75" customHeight="1" x14ac:dyDescent="0.1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row>
    <row r="956" spans="1:25" ht="15.75" customHeight="1" x14ac:dyDescent="0.1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row>
    <row r="957" spans="1:25" ht="15.75" customHeight="1" x14ac:dyDescent="0.1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row>
    <row r="958" spans="1:25" ht="15.75" customHeight="1" x14ac:dyDescent="0.1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row>
    <row r="959" spans="1:25" ht="15.75" customHeight="1" x14ac:dyDescent="0.1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row>
    <row r="960" spans="1:25" ht="15.75" customHeight="1" x14ac:dyDescent="0.1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row>
    <row r="961" spans="1:25" ht="15.75" customHeight="1" x14ac:dyDescent="0.1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row>
    <row r="962" spans="1:25" ht="15.75" customHeight="1" x14ac:dyDescent="0.1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row>
    <row r="963" spans="1:25" ht="15.75" customHeight="1" x14ac:dyDescent="0.15">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row>
    <row r="964" spans="1:25" ht="15.75" customHeight="1" x14ac:dyDescent="0.15">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row>
    <row r="965" spans="1:25" ht="15.75" customHeight="1" x14ac:dyDescent="0.1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row>
    <row r="966" spans="1:25" ht="15.75" customHeight="1" x14ac:dyDescent="0.15">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row>
    <row r="967" spans="1:25" ht="15.75" customHeight="1" x14ac:dyDescent="0.15">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row>
    <row r="968" spans="1:25" ht="15.75" customHeight="1" x14ac:dyDescent="0.15">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row>
    <row r="969" spans="1:25" ht="15.75" customHeight="1" x14ac:dyDescent="0.15">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row>
    <row r="970" spans="1:25" ht="15.75" customHeight="1" x14ac:dyDescent="0.15">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row>
    <row r="971" spans="1:25" ht="15.75" customHeight="1" x14ac:dyDescent="0.15">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row>
    <row r="972" spans="1:25" ht="15.75" customHeight="1" x14ac:dyDescent="0.15">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row>
    <row r="973" spans="1:25" ht="15.75" customHeight="1" x14ac:dyDescent="0.15">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row>
    <row r="974" spans="1:25" ht="15.75" customHeight="1" x14ac:dyDescent="0.15">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row>
    <row r="975" spans="1:25" ht="15.75" customHeight="1" x14ac:dyDescent="0.1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row>
    <row r="976" spans="1:25" ht="15.75" customHeight="1" x14ac:dyDescent="0.15">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row>
    <row r="977" spans="1:25" ht="15.75" customHeight="1" x14ac:dyDescent="0.15">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row>
    <row r="978" spans="1:25" ht="15.75" customHeight="1" x14ac:dyDescent="0.15">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row>
    <row r="979" spans="1:25" ht="15.75" customHeight="1" x14ac:dyDescent="0.15">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row>
    <row r="980" spans="1:25" ht="15.75" customHeight="1" x14ac:dyDescent="0.15">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row>
    <row r="981" spans="1:25" ht="15.75" customHeight="1" x14ac:dyDescent="0.15">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row>
    <row r="982" spans="1:25" ht="15.75" customHeight="1" x14ac:dyDescent="0.15">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row>
    <row r="983" spans="1:25" ht="15.75" customHeight="1" x14ac:dyDescent="0.15">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row>
    <row r="984" spans="1:25" ht="15.75" customHeight="1" x14ac:dyDescent="0.15">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row>
    <row r="985" spans="1:25" ht="15.75" customHeight="1" x14ac:dyDescent="0.1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row>
    <row r="986" spans="1:25" ht="15.75" customHeight="1" x14ac:dyDescent="0.15">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row>
    <row r="987" spans="1:25" ht="15.75" customHeight="1" x14ac:dyDescent="0.15">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row>
    <row r="988" spans="1:25" ht="15.75" customHeight="1" x14ac:dyDescent="0.15">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row>
    <row r="989" spans="1:25" ht="15.75" customHeight="1" x14ac:dyDescent="0.15">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row>
    <row r="990" spans="1:25" ht="15.75" customHeight="1" x14ac:dyDescent="0.15">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row>
    <row r="991" spans="1:25" ht="15.75" customHeight="1" x14ac:dyDescent="0.15">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row>
  </sheetData>
  <mergeCells count="3">
    <mergeCell ref="A2:B2"/>
    <mergeCell ref="A10:D10"/>
    <mergeCell ref="A14:D14"/>
  </mergeCells>
  <hyperlinks>
    <hyperlink ref="F7" r:id="rId1" xr:uid="{00000000-0004-0000-0300-000000000000}"/>
    <hyperlink ref="F8" r:id="rId2" xr:uid="{ACB07FED-1975-A140-A190-F6038C89976F}"/>
    <hyperlink ref="F6" r:id="rId3" xr:uid="{47EB33B6-60E1-B14C-AB28-3CC0D36A8AD9}"/>
  </hyperlink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 Me</vt:lpstr>
      <vt:lpstr>Exhibit A</vt:lpstr>
      <vt:lpstr>Exhibit B</vt:lpstr>
      <vt:lpstr>Exhibit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Hantian Chen</cp:lastModifiedBy>
  <cp:revision>0</cp:revision>
  <dcterms:created xsi:type="dcterms:W3CDTF">2026-07-18T20:11:49Z</dcterms:created>
  <dcterms:modified xsi:type="dcterms:W3CDTF">2026-07-18T20:17:41Z</dcterms:modified>
  <dc:language>en-US</dc:language>
</cp:coreProperties>
</file>