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70746877cb69d7/Desktop/Case Competition Materials/"/>
    </mc:Choice>
  </mc:AlternateContent>
  <xr:revisionPtr revIDLastSave="770" documentId="8_{0BB2B57C-67A2-4FA3-8943-B33F66DA87CD}" xr6:coauthVersionLast="47" xr6:coauthVersionMax="47" xr10:uidLastSave="{E381FD2D-310D-4352-8AAE-046BA328EA27}"/>
  <bookViews>
    <workbookView minimized="1" xWindow="2057" yWindow="3223" windowWidth="16114" windowHeight="7337" firstSheet="5" activeTab="8" xr2:uid="{504FAD38-ED69-42DB-86AC-FD0D39A316A4}"/>
  </bookViews>
  <sheets>
    <sheet name="Discount Definitions" sheetId="5" r:id="rId1"/>
    <sheet name="Premiums" sheetId="2" r:id="rId2"/>
    <sheet name="Losses and LAE" sheetId="3" r:id="rId3"/>
    <sheet name="Loss Ratios" sheetId="11" r:id="rId4"/>
    <sheet name="Claim&amp;Credibility" sheetId="7" r:id="rId5"/>
    <sheet name="Competitor Information" sheetId="6" r:id="rId6"/>
    <sheet name="Company Expenses" sheetId="8" r:id="rId7"/>
    <sheet name="Discount Calculations" sheetId="9" r:id="rId8"/>
    <sheet name="Rebasing Calculations" sheetId="12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2" l="1"/>
  <c r="B45" i="12"/>
  <c r="B44" i="12"/>
  <c r="B40" i="12"/>
  <c r="B39" i="12"/>
  <c r="B41" i="12" s="1"/>
  <c r="B36" i="12"/>
  <c r="B35" i="12"/>
  <c r="E27" i="2"/>
  <c r="F27" i="2"/>
  <c r="G27" i="2"/>
  <c r="H27" i="2"/>
  <c r="I27" i="2"/>
  <c r="D27" i="2"/>
  <c r="B34" i="12"/>
  <c r="P8" i="9"/>
  <c r="G21" i="12" s="1" a="1"/>
  <c r="G21" i="12" s="1"/>
  <c r="P9" i="9"/>
  <c r="G13" i="12" s="1" a="1"/>
  <c r="G13" i="12" s="1"/>
  <c r="P10" i="9"/>
  <c r="G28" i="12" s="1" a="1"/>
  <c r="G28" i="12" s="1"/>
  <c r="P14" i="9"/>
  <c r="D10" i="12" s="1" a="1"/>
  <c r="D10" i="12" s="1"/>
  <c r="P15" i="9"/>
  <c r="D23" i="12" s="1" a="1"/>
  <c r="D23" i="12" s="1"/>
  <c r="P3" i="9"/>
  <c r="E8" i="12"/>
  <c r="G7" i="12" a="1"/>
  <c r="G7" i="12" s="1"/>
  <c r="G8" i="12" a="1"/>
  <c r="G8" i="12" s="1"/>
  <c r="G9" i="12" a="1"/>
  <c r="G9" i="12" s="1"/>
  <c r="G10" i="12" a="1"/>
  <c r="G10" i="12" s="1"/>
  <c r="G11" i="12" a="1"/>
  <c r="G11" i="12" s="1"/>
  <c r="G12" i="12" a="1"/>
  <c r="G12" i="12" s="1"/>
  <c r="G15" i="12" a="1"/>
  <c r="G15" i="12" s="1"/>
  <c r="G17" i="12" a="1"/>
  <c r="G17" i="12" s="1"/>
  <c r="G18" i="12" a="1"/>
  <c r="G18" i="12" s="1"/>
  <c r="G19" i="12" a="1"/>
  <c r="G19" i="12" s="1"/>
  <c r="G20" i="12" a="1"/>
  <c r="G20" i="12" s="1"/>
  <c r="G23" i="12" a="1"/>
  <c r="G23" i="12" s="1"/>
  <c r="G24" i="12" a="1"/>
  <c r="G24" i="12"/>
  <c r="G25" i="12" a="1"/>
  <c r="G25" i="12" s="1"/>
  <c r="G26" i="12" a="1"/>
  <c r="G26" i="12" s="1"/>
  <c r="G27" i="12" a="1"/>
  <c r="G27" i="12" s="1"/>
  <c r="G6" i="12" a="1"/>
  <c r="G6" i="12" s="1"/>
  <c r="E7" i="12"/>
  <c r="E13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D27" i="12" a="1"/>
  <c r="D27" i="12" s="1"/>
  <c r="D25" i="12" a="1"/>
  <c r="D25" i="12" s="1"/>
  <c r="D24" i="12" a="1"/>
  <c r="D24" i="12" s="1"/>
  <c r="D21" i="12" a="1"/>
  <c r="D21" i="12" s="1"/>
  <c r="D18" i="12" a="1"/>
  <c r="D18" i="12" s="1"/>
  <c r="D15" i="12" a="1"/>
  <c r="D15" i="12" s="1"/>
  <c r="D13" i="12" a="1"/>
  <c r="D13" i="12" s="1"/>
  <c r="D12" i="12" a="1"/>
  <c r="D12" i="12" s="1"/>
  <c r="D9" i="12" a="1"/>
  <c r="D9" i="12" s="1"/>
  <c r="D6" i="12" a="1"/>
  <c r="D6" i="12" s="1"/>
  <c r="M8" i="9"/>
  <c r="M9" i="9"/>
  <c r="M10" i="9"/>
  <c r="M14" i="9"/>
  <c r="M15" i="9"/>
  <c r="M3" i="9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6" i="12"/>
  <c r="D14" i="12" l="1" a="1"/>
  <c r="D14" i="12" s="1"/>
  <c r="D7" i="12" a="1"/>
  <c r="D7" i="12" s="1"/>
  <c r="D16" i="12" a="1"/>
  <c r="D16" i="12" s="1"/>
  <c r="D28" i="12" a="1"/>
  <c r="D28" i="12" s="1"/>
  <c r="D29" i="12" a="1"/>
  <c r="D29" i="12" s="1"/>
  <c r="D19" i="12" a="1"/>
  <c r="D19" i="12" s="1"/>
  <c r="G16" i="12" a="1"/>
  <c r="G16" i="12" s="1"/>
  <c r="D20" i="12" a="1"/>
  <c r="D20" i="12" s="1"/>
  <c r="D11" i="12" a="1"/>
  <c r="D11" i="12" s="1"/>
  <c r="G22" i="12" a="1"/>
  <c r="G22" i="12" s="1"/>
  <c r="G14" i="12" a="1"/>
  <c r="G14" i="12" s="1"/>
  <c r="D22" i="12" a="1"/>
  <c r="D22" i="12" s="1"/>
  <c r="G29" i="12" a="1"/>
  <c r="G29" i="12" s="1"/>
  <c r="D26" i="12" a="1"/>
  <c r="D26" i="12" s="1"/>
  <c r="D17" i="12" a="1"/>
  <c r="D17" i="12" s="1"/>
  <c r="D8" i="12" a="1"/>
  <c r="D8" i="12" s="1"/>
  <c r="E14" i="12"/>
  <c r="E12" i="12"/>
  <c r="E6" i="12"/>
  <c r="E17" i="12"/>
  <c r="E16" i="12"/>
  <c r="E15" i="12"/>
  <c r="E11" i="12"/>
  <c r="E9" i="12"/>
  <c r="E10" i="12"/>
  <c r="F30" i="12"/>
  <c r="H30" i="12"/>
  <c r="I30" i="12"/>
  <c r="I3" i="9"/>
  <c r="B32" i="6"/>
  <c r="E32" i="6"/>
  <c r="H32" i="6"/>
  <c r="E33" i="6"/>
  <c r="I9" i="9" s="1"/>
  <c r="H33" i="6"/>
  <c r="E34" i="6"/>
  <c r="I10" i="9" s="1"/>
  <c r="E31" i="6"/>
  <c r="H31" i="6"/>
  <c r="B31" i="6"/>
  <c r="F15" i="9"/>
  <c r="E14" i="9"/>
  <c r="E15" i="9"/>
  <c r="E13" i="9"/>
  <c r="C15" i="9"/>
  <c r="C14" i="9"/>
  <c r="C13" i="9"/>
  <c r="B15" i="9"/>
  <c r="B13" i="9"/>
  <c r="B14" i="9"/>
  <c r="D14" i="9" s="1"/>
  <c r="I8" i="9"/>
  <c r="F8" i="9"/>
  <c r="F9" i="9"/>
  <c r="F10" i="9"/>
  <c r="F7" i="9"/>
  <c r="E8" i="9"/>
  <c r="E9" i="9"/>
  <c r="E10" i="9"/>
  <c r="E7" i="9"/>
  <c r="C10" i="9"/>
  <c r="C9" i="9"/>
  <c r="C8" i="9"/>
  <c r="C7" i="9"/>
  <c r="D7" i="9" s="1"/>
  <c r="B10" i="9"/>
  <c r="B9" i="9"/>
  <c r="B8" i="9"/>
  <c r="B7" i="9"/>
  <c r="F3" i="9"/>
  <c r="E32" i="7"/>
  <c r="E4" i="9"/>
  <c r="E3" i="9"/>
  <c r="C4" i="9"/>
  <c r="C3" i="9"/>
  <c r="B4" i="9"/>
  <c r="B3" i="9"/>
  <c r="E3" i="11"/>
  <c r="F3" i="11"/>
  <c r="G3" i="11"/>
  <c r="H3" i="11"/>
  <c r="I3" i="11"/>
  <c r="E4" i="11"/>
  <c r="F4" i="11"/>
  <c r="G4" i="11"/>
  <c r="H4" i="11"/>
  <c r="I4" i="11"/>
  <c r="E5" i="11"/>
  <c r="F5" i="11"/>
  <c r="G5" i="11"/>
  <c r="H5" i="11"/>
  <c r="I5" i="11"/>
  <c r="E6" i="11"/>
  <c r="F6" i="11"/>
  <c r="G6" i="11"/>
  <c r="H6" i="11"/>
  <c r="I6" i="11"/>
  <c r="E7" i="11"/>
  <c r="F7" i="11"/>
  <c r="G7" i="11"/>
  <c r="H7" i="11"/>
  <c r="I7" i="11"/>
  <c r="E8" i="11"/>
  <c r="F8" i="11"/>
  <c r="G8" i="11"/>
  <c r="H8" i="11"/>
  <c r="I8" i="11"/>
  <c r="E9" i="11"/>
  <c r="F9" i="11"/>
  <c r="G9" i="11"/>
  <c r="H9" i="11"/>
  <c r="I9" i="11"/>
  <c r="E10" i="11"/>
  <c r="F10" i="11"/>
  <c r="G10" i="11"/>
  <c r="H10" i="11"/>
  <c r="I10" i="11"/>
  <c r="E11" i="11"/>
  <c r="F11" i="11"/>
  <c r="G11" i="11"/>
  <c r="H11" i="11"/>
  <c r="I11" i="11"/>
  <c r="E12" i="11"/>
  <c r="F12" i="11"/>
  <c r="G12" i="11"/>
  <c r="H12" i="11"/>
  <c r="I12" i="11"/>
  <c r="E13" i="11"/>
  <c r="F13" i="11"/>
  <c r="G13" i="11"/>
  <c r="H13" i="11"/>
  <c r="I13" i="11"/>
  <c r="E14" i="11"/>
  <c r="F14" i="11"/>
  <c r="G14" i="11"/>
  <c r="H14" i="11"/>
  <c r="I14" i="11"/>
  <c r="E15" i="11"/>
  <c r="F15" i="11"/>
  <c r="G15" i="11"/>
  <c r="H15" i="11"/>
  <c r="I15" i="11"/>
  <c r="E16" i="11"/>
  <c r="F16" i="11"/>
  <c r="G16" i="11"/>
  <c r="H16" i="11"/>
  <c r="I16" i="11"/>
  <c r="E17" i="11"/>
  <c r="F17" i="11"/>
  <c r="G17" i="11"/>
  <c r="H17" i="11"/>
  <c r="I17" i="11"/>
  <c r="E18" i="11"/>
  <c r="F18" i="11"/>
  <c r="G18" i="11"/>
  <c r="H18" i="11"/>
  <c r="I18" i="11"/>
  <c r="E19" i="11"/>
  <c r="F19" i="11"/>
  <c r="G19" i="11"/>
  <c r="H19" i="11"/>
  <c r="I19" i="11"/>
  <c r="E20" i="11"/>
  <c r="F20" i="11"/>
  <c r="G20" i="11"/>
  <c r="H20" i="11"/>
  <c r="I20" i="11"/>
  <c r="E21" i="11"/>
  <c r="F21" i="11"/>
  <c r="G21" i="11"/>
  <c r="H21" i="11"/>
  <c r="I21" i="11"/>
  <c r="E22" i="11"/>
  <c r="F22" i="11"/>
  <c r="G22" i="11"/>
  <c r="H22" i="11"/>
  <c r="I22" i="11"/>
  <c r="E23" i="11"/>
  <c r="F23" i="11"/>
  <c r="G23" i="11"/>
  <c r="H23" i="11"/>
  <c r="I23" i="11"/>
  <c r="E24" i="11"/>
  <c r="F24" i="11"/>
  <c r="G24" i="11"/>
  <c r="H24" i="11"/>
  <c r="I24" i="11"/>
  <c r="E25" i="11"/>
  <c r="F25" i="11"/>
  <c r="G25" i="11"/>
  <c r="H25" i="11"/>
  <c r="I25" i="11"/>
  <c r="E26" i="11"/>
  <c r="F26" i="11"/>
  <c r="G26" i="11"/>
  <c r="H26" i="11"/>
  <c r="I26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3" i="11"/>
  <c r="E37" i="7"/>
  <c r="E39" i="7"/>
  <c r="E40" i="7"/>
  <c r="E41" i="7"/>
  <c r="E42" i="7"/>
  <c r="C42" i="7"/>
  <c r="C41" i="7"/>
  <c r="C40" i="7"/>
  <c r="C39" i="7"/>
  <c r="C38" i="7"/>
  <c r="C37" i="7"/>
  <c r="C36" i="7"/>
  <c r="C35" i="7"/>
  <c r="C34" i="7"/>
  <c r="C31" i="7"/>
  <c r="C33" i="7"/>
  <c r="C32" i="7"/>
  <c r="G30" i="12" l="1"/>
  <c r="D30" i="12"/>
  <c r="E30" i="12"/>
  <c r="D8" i="9"/>
  <c r="D9" i="9"/>
  <c r="D13" i="9"/>
  <c r="D15" i="9"/>
  <c r="H15" i="9"/>
  <c r="J15" i="9" s="1"/>
  <c r="L15" i="9" s="1"/>
  <c r="H14" i="9"/>
  <c r="J14" i="9" s="1"/>
  <c r="L14" i="9" s="1"/>
  <c r="H8" i="9"/>
  <c r="J8" i="9" s="1"/>
  <c r="L8" i="9" s="1"/>
  <c r="D10" i="9"/>
  <c r="H10" i="9" s="1"/>
  <c r="J10" i="9" s="1"/>
  <c r="L10" i="9" s="1"/>
  <c r="H9" i="9"/>
  <c r="J9" i="9" s="1"/>
  <c r="L9" i="9" s="1"/>
  <c r="D4" i="9"/>
  <c r="D3" i="9"/>
  <c r="H3" i="9" l="1"/>
  <c r="J3" i="9"/>
  <c r="L3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<sst xmlns="http://schemas.openxmlformats.org/spreadsheetml/2006/main" count="362" uniqueCount="117">
  <si>
    <t>Water Sensor</t>
  </si>
  <si>
    <t>Y - Yes</t>
  </si>
  <si>
    <t>N - No</t>
  </si>
  <si>
    <t>Alarm</t>
  </si>
  <si>
    <t>1 - None</t>
  </si>
  <si>
    <t>2 - Local Alarm</t>
  </si>
  <si>
    <t>3 - High Tech Local Alarm</t>
  </si>
  <si>
    <t>4 - Monitored High Tech Alarm</t>
  </si>
  <si>
    <t>Roof Type</t>
  </si>
  <si>
    <t>1 - Composite Shingle</t>
  </si>
  <si>
    <t>2 - Hail Resistant Shingle</t>
  </si>
  <si>
    <t>3 - Solar Panel over Shingle</t>
  </si>
  <si>
    <t>Notes:</t>
  </si>
  <si>
    <t>1) Discounts do not apply to all perils.</t>
  </si>
  <si>
    <t>2) Some perils may be impacted by more than one discount.</t>
  </si>
  <si>
    <t>3) Some perils may not be impacted by discounts.</t>
  </si>
  <si>
    <t>Discounts</t>
  </si>
  <si>
    <t>Peril</t>
  </si>
  <si>
    <t>Wind/Hail</t>
  </si>
  <si>
    <t>Water</t>
  </si>
  <si>
    <t>Fire</t>
  </si>
  <si>
    <t>Theft</t>
  </si>
  <si>
    <t>Other</t>
  </si>
  <si>
    <t>Liability</t>
  </si>
  <si>
    <t>Y</t>
  </si>
  <si>
    <t>N</t>
  </si>
  <si>
    <t>Apples Insurance Company (35% Market Share)</t>
  </si>
  <si>
    <t>Discount Factor</t>
  </si>
  <si>
    <t>1 - Shingle</t>
  </si>
  <si>
    <t>2 - Local</t>
  </si>
  <si>
    <t>3 - High Tech</t>
  </si>
  <si>
    <t>3 - Solar Panel</t>
  </si>
  <si>
    <t>4 - Monitored High Tech</t>
  </si>
  <si>
    <t>Bananas Insurance Company (20% Market Share)</t>
  </si>
  <si>
    <t>Avocado Insurannce Company (10% Market Share)</t>
  </si>
  <si>
    <t>Yearly Expense</t>
  </si>
  <si>
    <t>General Expenses</t>
  </si>
  <si>
    <t>Expense Category</t>
  </si>
  <si>
    <t>Commission</t>
  </si>
  <si>
    <t>Other Acquisition</t>
  </si>
  <si>
    <t>Taxes, Licenses, and Fees</t>
  </si>
  <si>
    <t>Premiums</t>
  </si>
  <si>
    <t>Losses</t>
  </si>
  <si>
    <t>Loss Ratio</t>
  </si>
  <si>
    <t>Segment Credibility</t>
  </si>
  <si>
    <t>Hazards</t>
  </si>
  <si>
    <t>Discount</t>
  </si>
  <si>
    <t>Claim Number</t>
  </si>
  <si>
    <t>Roof 1</t>
  </si>
  <si>
    <t>Roof 3</t>
  </si>
  <si>
    <t>Roof 2</t>
  </si>
  <si>
    <t>Alarm 1</t>
  </si>
  <si>
    <t>Alarm 2</t>
  </si>
  <si>
    <t>Alarm 3</t>
  </si>
  <si>
    <t>Alarm 4</t>
  </si>
  <si>
    <t>Partial Credibility</t>
  </si>
  <si>
    <t>(determined with square root rule)</t>
  </si>
  <si>
    <t>Credibility(Claims)</t>
  </si>
  <si>
    <t>Indicated relativity</t>
  </si>
  <si>
    <t>Final relativity</t>
  </si>
  <si>
    <t>Suggested Discount</t>
  </si>
  <si>
    <t>Complement</t>
  </si>
  <si>
    <t>Roof</t>
  </si>
  <si>
    <t>N (base class)</t>
  </si>
  <si>
    <t>1 - None (base class)</t>
  </si>
  <si>
    <t>1 - Composite Shingle (base class)</t>
  </si>
  <si>
    <t>N/A</t>
  </si>
  <si>
    <t>Average (weighted by market share)</t>
  </si>
  <si>
    <t>Methodology:</t>
  </si>
  <si>
    <t>Data deemed credible when 1082 claims</t>
  </si>
  <si>
    <t xml:space="preserve">Partial credibility determined with formula: </t>
  </si>
  <si>
    <t>Credibility:</t>
  </si>
  <si>
    <t>where:</t>
  </si>
  <si>
    <t>Z = credibility weight</t>
  </si>
  <si>
    <t>N = the actual number of observations</t>
  </si>
  <si>
    <t xml:space="preserve">      = the number of observations to achieve credibility</t>
  </si>
  <si>
    <t>Indicated Relativity:</t>
  </si>
  <si>
    <t>The indicated relativity evaluates how a specific subset compares to the baseline average. The formula computes as follows:</t>
  </si>
  <si>
    <t>Incorporating Credibility:</t>
  </si>
  <si>
    <t>Because a small or new risk class may not have enough historical data to be fully statistically reliable, actuaries apply a credibility factor (Z)</t>
  </si>
  <si>
    <t>This factor assigns a weight to the class's own indicated relativity and balances it with a baseline expected relativity using a factor of 1 - Z</t>
  </si>
  <si>
    <t>R weighted = the final, blended relativity factor applied to risk</t>
  </si>
  <si>
    <t>R indicated = the relativity calculated from local data</t>
  </si>
  <si>
    <t>R complement = A broader, more stable baseline figure</t>
  </si>
  <si>
    <t>Z = credibility factor</t>
  </si>
  <si>
    <t>This sqaure root credibility formula seems to be the standard for ratemaking purposes</t>
  </si>
  <si>
    <t>Was given in the packet that 1082 is when credibility is achieved</t>
  </si>
  <si>
    <t>Complement:</t>
  </si>
  <si>
    <t>For most cases the complement used was the weighted average (by market share) of the competitors discounts</t>
  </si>
  <si>
    <t>A notable exception of this is Roof 3.</t>
  </si>
  <si>
    <t>Preliminary Findings / Talking Points:</t>
  </si>
  <si>
    <t>Hail Resistant Shingle:</t>
  </si>
  <si>
    <t>Apples only offers a 5% discount, Bananas offers 15%, and Avocado offers 0%</t>
  </si>
  <si>
    <t>Our fully credibile data justifies a 19% discount</t>
  </si>
  <si>
    <t>By implementing this steep discount we will drastically undercut the market and receive a flood of highly profitable, low risk customers</t>
  </si>
  <si>
    <t>Solar Panel over Shingle:</t>
  </si>
  <si>
    <t>Apples offers a 10% discount, Bananas offers 25%, and Avocado offers  0%</t>
  </si>
  <si>
    <t>Only 644 claims, lacking in credibility</t>
  </si>
  <si>
    <t>In addition, although data suggests losses are lower for Solar Panel over Shingle, the presence of solar panels will increase the cost of a claim</t>
  </si>
  <si>
    <t>This will result in the riskier customers choosing to go to Bananas, but this loss of market share will be compensated for by the inflow of customers</t>
  </si>
  <si>
    <t>from our large, data backed, Hail Resistant Shingle Discount</t>
  </si>
  <si>
    <t>For these reasons a more conservative R complement of 1 was chosen</t>
  </si>
  <si>
    <t>Making solar panels a riskier choice to insure, especially taking into consideration our lack of data</t>
  </si>
  <si>
    <t>In order to properly rebase, we need to calculate the premium we would collect under out proposed discount structure</t>
  </si>
  <si>
    <t>(1- Discount Factor)</t>
  </si>
  <si>
    <t>Proposed Premium (Calculated by applying relevant discount factors to premium numbers from last year to see how much premium we would have collected last year with the proposed discount structure)</t>
  </si>
  <si>
    <t>Current Premium:</t>
  </si>
  <si>
    <t>Proposed Premium:</t>
  </si>
  <si>
    <t>Rebalance Factor:</t>
  </si>
  <si>
    <t>F/V</t>
  </si>
  <si>
    <t>Variable</t>
  </si>
  <si>
    <t>Fixed</t>
  </si>
  <si>
    <t>Final Discount</t>
  </si>
  <si>
    <t>(1- Final Factor)</t>
  </si>
  <si>
    <t>Rebalancing Factors (by peril) (this stops the fire liability and other categories from being needlessly inflated)</t>
  </si>
  <si>
    <t>Water:</t>
  </si>
  <si>
    <t>Wind/Hail: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</si>
</sst>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_(&quot;$&quot;* #,##0.0_);_(&quot;$&quot;* \(#,##0.0\);_(&quot;$&quot;* &quot;-&quot;??_);_(@_)"/>
    <numFmt numFmtId="167" formatCode="0.0000"/>
    <numFmt numFmtId="168" formatCode="0.00000"/>
    <numFmt numFmtId="169" formatCode="&quot;$&quot;#,##0.00"/>
    <numFmt numFmtId="170" formatCode="0.0000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6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8" fontId="0" fillId="0" borderId="0" xfId="1" applyNumberFormat="1" applyFont="1"/>
    <xf numFmtId="0" fontId="2" fillId="0" borderId="0" xfId="0" applyFont="1"/>
    <xf numFmtId="167" fontId="0" fillId="0" borderId="0" xfId="0" applyNumberFormat="1"/>
    <xf numFmtId="2" fontId="0" fillId="0" borderId="0" xfId="0" applyNumberFormat="1"/>
    <xf numFmtId="167" fontId="2" fillId="0" borderId="0" xfId="0" applyNumberFormat="1" applyFont="1"/>
    <xf numFmtId="165" fontId="0" fillId="0" borderId="0" xfId="1" applyNumberFormat="1" applyFont="1"/>
    <xf numFmtId="0" fontId="3" fillId="0" borderId="0" xfId="0" applyFont="1"/>
    <xf numFmtId="169" fontId="0" fillId="0" borderId="0" xfId="0" applyNumberFormat="1"/>
    <xf numFmtId="10" fontId="0" fillId="0" borderId="0" xfId="0" applyNumberFormat="1"/>
    <xf numFmtId="10" fontId="2" fillId="0" borderId="0" xfId="0" applyNumberFormat="1" applyFont="1"/>
    <xf numFmtId="170" fontId="0" fillId="0" borderId="0" xfId="0" applyNumberFormat="1"/>
    <xf numFmtId="8" fontId="0" fillId="0" borderId="0" xfId="0" applyNumberFormat="1"/>
    <xf numFmtId="6" fontId="0" fillId="0" borderId="0" xfId="0" applyNumberFormat="1" applyFont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2592161</xdr:colOff>
      <xdr:row>21</xdr:row>
      <xdr:rowOff>39460</xdr:rowOff>
    </xdr:from>
    <xdr:ext cx="884464" cy="5184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BC7D1DB-25AD-2529-A575-40A86ECE9D2A}"/>
                </a:ext>
              </a:extLst>
            </xdr:cNvPr>
            <xdr:cNvSpPr txBox="1"/>
          </xdr:nvSpPr>
          <xdr:spPr>
            <a:xfrm>
              <a:off x="2592161" y="3550103"/>
              <a:ext cx="884464" cy="518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sub>
                            </m:sSub>
                          </m:den>
                        </m:f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BC7D1DB-25AD-2529-A575-40A86ECE9D2A}"/>
                </a:ext>
              </a:extLst>
            </xdr:cNvPr>
            <xdr:cNvSpPr txBox="1"/>
          </xdr:nvSpPr>
          <xdr:spPr>
            <a:xfrm>
              <a:off x="2592161" y="3550103"/>
              <a:ext cx="884464" cy="518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𝑍=√(𝑁/𝑁_𝑓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1006929</xdr:colOff>
      <xdr:row>24</xdr:row>
      <xdr:rowOff>25854</xdr:rowOff>
    </xdr:from>
    <xdr:ext cx="258093" cy="1831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DBB5A32-3C13-04EC-6896-ACC0F09FF696}"/>
                </a:ext>
              </a:extLst>
            </xdr:cNvPr>
            <xdr:cNvSpPr txBox="1"/>
          </xdr:nvSpPr>
          <xdr:spPr>
            <a:xfrm>
              <a:off x="3660322" y="4454979"/>
              <a:ext cx="258093" cy="183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DBB5A32-3C13-04EC-6896-ACC0F09FF696}"/>
                </a:ext>
              </a:extLst>
            </xdr:cNvPr>
            <xdr:cNvSpPr txBox="1"/>
          </xdr:nvSpPr>
          <xdr:spPr>
            <a:xfrm>
              <a:off x="3660322" y="4454979"/>
              <a:ext cx="258093" cy="183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𝑁_𝑓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954540</xdr:colOff>
      <xdr:row>28</xdr:row>
      <xdr:rowOff>148318</xdr:rowOff>
    </xdr:from>
    <xdr:ext cx="3312189" cy="3515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06C66E7-1E03-E585-5B9B-DF4A2647B8C2}"/>
                </a:ext>
              </a:extLst>
            </xdr:cNvPr>
            <xdr:cNvSpPr txBox="1"/>
          </xdr:nvSpPr>
          <xdr:spPr>
            <a:xfrm>
              <a:off x="954540" y="5312229"/>
              <a:ext cx="3312189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𝐼𝑛𝑑𝑖𝑐𝑎𝑡𝑒𝑑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𝑅𝑒𝑙𝑎𝑡𝑖𝑣𝑖𝑡𝑦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𝐿𝑜𝑠𝑠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𝑅𝑎𝑡𝑖𝑜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𝑜𝑓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𝑆𝑝𝑒𝑐𝑖𝑓𝑖𝑐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𝐶𝑙𝑎𝑠𝑠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𝐿𝑜𝑠𝑠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𝑅𝑎𝑡𝑖𝑜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𝑜𝑓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𝐵𝑎𝑠𝑒𝑙𝑖𝑛𝑒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𝐶𝑙𝑎𝑠𝑠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06C66E7-1E03-E585-5B9B-DF4A2647B8C2}"/>
                </a:ext>
              </a:extLst>
            </xdr:cNvPr>
            <xdr:cNvSpPr txBox="1"/>
          </xdr:nvSpPr>
          <xdr:spPr>
            <a:xfrm>
              <a:off x="954540" y="5312229"/>
              <a:ext cx="3312189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𝐼𝑛𝑑𝑖𝑐𝑎𝑡𝑒𝑑 𝑅𝑒𝑙𝑎𝑡𝑖𝑣𝑖𝑡𝑦=  (𝐿𝑜𝑠𝑠 𝑅𝑎𝑡𝑖𝑜 𝑜𝑓 𝑆𝑝𝑒𝑐𝑖𝑓𝑖𝑐 𝐶𝑙𝑎𝑠𝑠)/(𝐿𝑜𝑠𝑠 𝑅𝑎𝑡𝑖𝑜 𝑜𝑓 𝐵𝑎𝑠𝑒𝑙𝑖𝑛𝑒 𝐶𝑙𝑎𝑠𝑠)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798059</xdr:colOff>
      <xdr:row>36</xdr:row>
      <xdr:rowOff>12245</xdr:rowOff>
    </xdr:from>
    <xdr:ext cx="3299493" cy="183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18F2A84-947E-CBC4-E804-C2B28E227928}"/>
                </a:ext>
              </a:extLst>
            </xdr:cNvPr>
            <xdr:cNvSpPr txBox="1"/>
          </xdr:nvSpPr>
          <xdr:spPr>
            <a:xfrm>
              <a:off x="798059" y="6645728"/>
              <a:ext cx="3299493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𝑤𝑒𝑖𝑔h𝑡𝑒𝑑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∗ 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𝑖𝑛𝑑𝑖𝑐𝑎𝑡𝑒𝑑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+(1 −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𝑐𝑜𝑚𝑝𝑙𝑒𝑚𝑒𝑛𝑡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18F2A84-947E-CBC4-E804-C2B28E227928}"/>
                </a:ext>
              </a:extLst>
            </xdr:cNvPr>
            <xdr:cNvSpPr txBox="1"/>
          </xdr:nvSpPr>
          <xdr:spPr>
            <a:xfrm>
              <a:off x="798059" y="6645728"/>
              <a:ext cx="3299493" cy="183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𝑅_𝑤𝑒𝑖𝑔ℎ𝑡𝑒𝑑=(𝑍 ∗ 𝑅_𝑖𝑛𝑑𝑖𝑐𝑎𝑡𝑒𝑑 )+(1 −𝑍)(〖𝑅 〗_𝑐𝑜𝑚𝑝𝑙𝑒𝑚𝑒𝑛𝑡)</a:t>
              </a:r>
              <a:endParaRPr lang="en-US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6F76-7561-4C3C-A9F3-4B1E27D4C4C7}">
  <dimension ref="A1:A19"/>
  <sheetViews>
    <sheetView workbookViewId="0">
      <selection activeCell="A12" sqref="A12:A14"/>
    </sheetView>
  </sheetViews>
  <sheetFormatPr defaultColWidth="8.765625" defaultRowHeight="14.6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  <row r="9" spans="1:1" x14ac:dyDescent="0.4">
      <c r="A9" t="s">
        <v>7</v>
      </c>
    </row>
    <row r="11" spans="1:1" x14ac:dyDescent="0.4">
      <c r="A11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6" spans="1:1" x14ac:dyDescent="0.4">
      <c r="A16" t="s">
        <v>12</v>
      </c>
    </row>
    <row r="17" spans="1:1" x14ac:dyDescent="0.4">
      <c r="A17" t="s">
        <v>13</v>
      </c>
    </row>
    <row r="18" spans="1:1" x14ac:dyDescent="0.4">
      <c r="A18" t="s">
        <v>14</v>
      </c>
    </row>
    <row r="19" spans="1:1" x14ac:dyDescent="0.4">
      <c r="A1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E6BF-D740-47B7-9A87-2B423C1D16EF}">
  <dimension ref="A1:P27"/>
  <sheetViews>
    <sheetView topLeftCell="A4" workbookViewId="0">
      <selection activeCell="F28" sqref="F28"/>
    </sheetView>
  </sheetViews>
  <sheetFormatPr defaultColWidth="8.765625" defaultRowHeight="14.6" x14ac:dyDescent="0.4"/>
  <cols>
    <col min="1" max="1" width="13.765625" customWidth="1"/>
    <col min="2" max="3" width="11" customWidth="1"/>
    <col min="4" max="9" width="13.69140625" customWidth="1"/>
    <col min="11" max="11" width="10.69140625" bestFit="1" customWidth="1"/>
  </cols>
  <sheetData>
    <row r="1" spans="1:16" x14ac:dyDescent="0.4">
      <c r="A1" t="s">
        <v>16</v>
      </c>
      <c r="D1" t="s">
        <v>17</v>
      </c>
    </row>
    <row r="2" spans="1:16" x14ac:dyDescent="0.4">
      <c r="A2" t="s">
        <v>0</v>
      </c>
      <c r="B2" t="s">
        <v>3</v>
      </c>
      <c r="C2" t="s">
        <v>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16" x14ac:dyDescent="0.4">
      <c r="A3" t="s">
        <v>24</v>
      </c>
      <c r="B3">
        <v>1</v>
      </c>
      <c r="C3">
        <v>1</v>
      </c>
      <c r="D3" s="1">
        <v>2521391</v>
      </c>
      <c r="E3" s="1">
        <v>1119379</v>
      </c>
      <c r="F3" s="1">
        <v>836869</v>
      </c>
      <c r="G3" s="1">
        <v>280509</v>
      </c>
      <c r="H3" s="1">
        <v>562613</v>
      </c>
      <c r="I3" s="1">
        <v>279939</v>
      </c>
      <c r="K3" s="1"/>
      <c r="L3" s="1"/>
      <c r="M3" s="1"/>
      <c r="N3" s="1"/>
      <c r="O3" s="1"/>
      <c r="P3" s="1"/>
    </row>
    <row r="4" spans="1:16" x14ac:dyDescent="0.4">
      <c r="A4" t="s">
        <v>24</v>
      </c>
      <c r="B4">
        <v>1</v>
      </c>
      <c r="C4">
        <v>2</v>
      </c>
      <c r="D4" s="1">
        <v>1265040</v>
      </c>
      <c r="E4" s="1">
        <v>558693</v>
      </c>
      <c r="F4" s="1">
        <v>418395</v>
      </c>
      <c r="G4" s="1">
        <v>139599</v>
      </c>
      <c r="H4" s="1">
        <v>280331</v>
      </c>
      <c r="I4" s="1">
        <v>139547</v>
      </c>
      <c r="K4" s="1"/>
      <c r="L4" s="1"/>
      <c r="M4" s="1"/>
      <c r="N4" s="1"/>
      <c r="O4" s="1"/>
      <c r="P4" s="1"/>
    </row>
    <row r="5" spans="1:16" x14ac:dyDescent="0.4">
      <c r="A5" t="s">
        <v>24</v>
      </c>
      <c r="B5">
        <v>1</v>
      </c>
      <c r="C5">
        <v>3</v>
      </c>
      <c r="D5" s="1">
        <v>421834</v>
      </c>
      <c r="E5" s="1">
        <v>186303</v>
      </c>
      <c r="F5" s="1">
        <v>139468</v>
      </c>
      <c r="G5" s="1">
        <v>46769</v>
      </c>
      <c r="H5" s="1">
        <v>93730</v>
      </c>
      <c r="I5" s="1">
        <v>46508</v>
      </c>
      <c r="K5" s="1"/>
      <c r="L5" s="1"/>
      <c r="M5" s="1"/>
      <c r="N5" s="1"/>
      <c r="O5" s="1"/>
      <c r="P5" s="1"/>
    </row>
    <row r="6" spans="1:16" x14ac:dyDescent="0.4">
      <c r="A6" t="s">
        <v>24</v>
      </c>
      <c r="B6">
        <v>2</v>
      </c>
      <c r="C6">
        <v>1</v>
      </c>
      <c r="D6" s="1">
        <v>10104346</v>
      </c>
      <c r="E6" s="1">
        <v>4488414</v>
      </c>
      <c r="F6" s="1">
        <v>3371550</v>
      </c>
      <c r="G6" s="1">
        <v>1124858</v>
      </c>
      <c r="H6" s="1">
        <v>2245941</v>
      </c>
      <c r="I6" s="1">
        <v>1117251</v>
      </c>
      <c r="K6" s="1"/>
      <c r="L6" s="1"/>
      <c r="M6" s="1"/>
      <c r="N6" s="1"/>
      <c r="O6" s="1"/>
      <c r="P6" s="1"/>
    </row>
    <row r="7" spans="1:16" x14ac:dyDescent="0.4">
      <c r="A7" t="s">
        <v>24</v>
      </c>
      <c r="B7">
        <v>2</v>
      </c>
      <c r="C7">
        <v>2</v>
      </c>
      <c r="D7" s="1">
        <v>5037886</v>
      </c>
      <c r="E7" s="1">
        <v>2236519</v>
      </c>
      <c r="F7" s="1">
        <v>1679608</v>
      </c>
      <c r="G7" s="1">
        <v>558983</v>
      </c>
      <c r="H7" s="1">
        <v>1118357</v>
      </c>
      <c r="I7" s="1">
        <v>562623</v>
      </c>
      <c r="K7" s="1"/>
      <c r="L7" s="1"/>
      <c r="M7" s="1"/>
      <c r="N7" s="1"/>
      <c r="O7" s="1"/>
      <c r="P7" s="1"/>
    </row>
    <row r="8" spans="1:16" x14ac:dyDescent="0.4">
      <c r="A8" t="s">
        <v>24</v>
      </c>
      <c r="B8">
        <v>2</v>
      </c>
      <c r="C8">
        <v>3</v>
      </c>
      <c r="D8" s="1">
        <v>1674055</v>
      </c>
      <c r="E8" s="1">
        <v>750153</v>
      </c>
      <c r="F8" s="1">
        <v>560756</v>
      </c>
      <c r="G8" s="1">
        <v>187399</v>
      </c>
      <c r="H8" s="1">
        <v>371994</v>
      </c>
      <c r="I8" s="1">
        <v>186625</v>
      </c>
      <c r="K8" s="1"/>
      <c r="L8" s="1"/>
      <c r="M8" s="1"/>
      <c r="N8" s="1"/>
      <c r="O8" s="1"/>
      <c r="P8" s="1"/>
    </row>
    <row r="9" spans="1:16" x14ac:dyDescent="0.4">
      <c r="A9" t="s">
        <v>24</v>
      </c>
      <c r="B9">
        <v>3</v>
      </c>
      <c r="C9">
        <v>1</v>
      </c>
      <c r="D9" s="1">
        <v>7574980</v>
      </c>
      <c r="E9" s="1">
        <v>3370715</v>
      </c>
      <c r="F9" s="1">
        <v>2522123</v>
      </c>
      <c r="G9" s="1">
        <v>836747</v>
      </c>
      <c r="H9" s="1">
        <v>1679515</v>
      </c>
      <c r="I9" s="1">
        <v>836211</v>
      </c>
      <c r="K9" s="1"/>
      <c r="L9" s="1"/>
      <c r="M9" s="1"/>
      <c r="N9" s="1"/>
      <c r="O9" s="1"/>
      <c r="P9" s="1"/>
    </row>
    <row r="10" spans="1:16" x14ac:dyDescent="0.4">
      <c r="A10" t="s">
        <v>24</v>
      </c>
      <c r="B10">
        <v>3</v>
      </c>
      <c r="C10">
        <v>2</v>
      </c>
      <c r="D10" s="1">
        <v>3780117</v>
      </c>
      <c r="E10" s="1">
        <v>1678581</v>
      </c>
      <c r="F10" s="1">
        <v>1261442</v>
      </c>
      <c r="G10" s="1">
        <v>419991</v>
      </c>
      <c r="H10" s="1">
        <v>842585</v>
      </c>
      <c r="I10" s="1">
        <v>417989</v>
      </c>
      <c r="K10" s="1"/>
      <c r="L10" s="1"/>
      <c r="M10" s="1"/>
      <c r="N10" s="1"/>
      <c r="O10" s="1"/>
      <c r="P10" s="1"/>
    </row>
    <row r="11" spans="1:16" x14ac:dyDescent="0.4">
      <c r="A11" t="s">
        <v>24</v>
      </c>
      <c r="B11">
        <v>3</v>
      </c>
      <c r="C11">
        <v>3</v>
      </c>
      <c r="D11" s="1">
        <v>1263122</v>
      </c>
      <c r="E11" s="1">
        <v>560406</v>
      </c>
      <c r="F11" s="1">
        <v>420443</v>
      </c>
      <c r="G11" s="1">
        <v>139692</v>
      </c>
      <c r="H11" s="1">
        <v>278698</v>
      </c>
      <c r="I11" s="1">
        <v>140219</v>
      </c>
      <c r="K11" s="1"/>
      <c r="L11" s="1"/>
      <c r="M11" s="1"/>
      <c r="N11" s="1"/>
      <c r="O11" s="1"/>
      <c r="P11" s="1"/>
    </row>
    <row r="12" spans="1:16" x14ac:dyDescent="0.4">
      <c r="A12" t="s">
        <v>24</v>
      </c>
      <c r="B12">
        <v>4</v>
      </c>
      <c r="C12">
        <v>1</v>
      </c>
      <c r="D12" s="1">
        <v>5055839</v>
      </c>
      <c r="E12" s="1">
        <v>2231941</v>
      </c>
      <c r="F12" s="1">
        <v>1683337</v>
      </c>
      <c r="G12" s="1">
        <v>558913</v>
      </c>
      <c r="H12" s="1">
        <v>1116047</v>
      </c>
      <c r="I12" s="1">
        <v>558250</v>
      </c>
      <c r="K12" s="1"/>
      <c r="L12" s="1"/>
      <c r="M12" s="1"/>
      <c r="N12" s="1"/>
      <c r="O12" s="1"/>
      <c r="P12" s="1"/>
    </row>
    <row r="13" spans="1:16" x14ac:dyDescent="0.4">
      <c r="A13" t="s">
        <v>24</v>
      </c>
      <c r="B13">
        <v>4</v>
      </c>
      <c r="C13">
        <v>2</v>
      </c>
      <c r="D13" s="1">
        <v>2529833</v>
      </c>
      <c r="E13" s="1">
        <v>1115315</v>
      </c>
      <c r="F13" s="1">
        <v>837676</v>
      </c>
      <c r="G13" s="1">
        <v>279468</v>
      </c>
      <c r="H13" s="1">
        <v>560065</v>
      </c>
      <c r="I13" s="1">
        <v>281288</v>
      </c>
      <c r="K13" s="1"/>
      <c r="L13" s="1"/>
      <c r="M13" s="1"/>
      <c r="N13" s="1"/>
      <c r="O13" s="1"/>
      <c r="P13" s="1"/>
    </row>
    <row r="14" spans="1:16" x14ac:dyDescent="0.4">
      <c r="A14" t="s">
        <v>24</v>
      </c>
      <c r="B14">
        <v>4</v>
      </c>
      <c r="C14">
        <v>3</v>
      </c>
      <c r="D14" s="1">
        <v>842100</v>
      </c>
      <c r="E14" s="1">
        <v>372260</v>
      </c>
      <c r="F14" s="1">
        <v>278614</v>
      </c>
      <c r="G14" s="1">
        <v>93021</v>
      </c>
      <c r="H14" s="1">
        <v>186793</v>
      </c>
      <c r="I14" s="1">
        <v>93263</v>
      </c>
      <c r="K14" s="1"/>
      <c r="L14" s="1"/>
      <c r="M14" s="1"/>
      <c r="N14" s="1"/>
      <c r="O14" s="1"/>
      <c r="P14" s="1"/>
    </row>
    <row r="15" spans="1:16" x14ac:dyDescent="0.4">
      <c r="A15" t="s">
        <v>25</v>
      </c>
      <c r="B15">
        <v>1</v>
      </c>
      <c r="C15">
        <v>1</v>
      </c>
      <c r="D15" s="1">
        <v>10050955</v>
      </c>
      <c r="E15" s="1">
        <v>4492068</v>
      </c>
      <c r="F15" s="1">
        <v>3357928</v>
      </c>
      <c r="G15" s="1">
        <v>1118605</v>
      </c>
      <c r="H15" s="1">
        <v>2241965</v>
      </c>
      <c r="I15" s="1">
        <v>1122459</v>
      </c>
      <c r="K15" s="1"/>
      <c r="L15" s="1"/>
      <c r="M15" s="1"/>
      <c r="N15" s="1"/>
      <c r="O15" s="1"/>
      <c r="P15" s="1"/>
    </row>
    <row r="16" spans="1:16" x14ac:dyDescent="0.4">
      <c r="A16" t="s">
        <v>25</v>
      </c>
      <c r="B16">
        <v>1</v>
      </c>
      <c r="C16">
        <v>2</v>
      </c>
      <c r="D16" s="1">
        <v>5044975</v>
      </c>
      <c r="E16" s="1">
        <v>2232617</v>
      </c>
      <c r="F16" s="1">
        <v>1674367</v>
      </c>
      <c r="G16" s="1">
        <v>561974</v>
      </c>
      <c r="H16" s="1">
        <v>1117559</v>
      </c>
      <c r="I16" s="1">
        <v>562665</v>
      </c>
      <c r="K16" s="1"/>
      <c r="L16" s="1"/>
      <c r="M16" s="1"/>
      <c r="N16" s="1"/>
      <c r="O16" s="1"/>
      <c r="P16" s="1"/>
    </row>
    <row r="17" spans="1:16" x14ac:dyDescent="0.4">
      <c r="A17" t="s">
        <v>25</v>
      </c>
      <c r="B17">
        <v>1</v>
      </c>
      <c r="C17">
        <v>3</v>
      </c>
      <c r="D17" s="1">
        <v>1685833</v>
      </c>
      <c r="E17" s="1">
        <v>746914</v>
      </c>
      <c r="F17" s="1">
        <v>558791</v>
      </c>
      <c r="G17" s="1">
        <v>187488</v>
      </c>
      <c r="H17" s="1">
        <v>372227</v>
      </c>
      <c r="I17" s="1">
        <v>187539</v>
      </c>
      <c r="K17" s="1"/>
      <c r="L17" s="1"/>
      <c r="M17" s="1"/>
      <c r="N17" s="1"/>
      <c r="O17" s="1"/>
      <c r="P17" s="1"/>
    </row>
    <row r="18" spans="1:16" x14ac:dyDescent="0.4">
      <c r="A18" t="s">
        <v>25</v>
      </c>
      <c r="B18">
        <v>2</v>
      </c>
      <c r="C18">
        <v>1</v>
      </c>
      <c r="D18" s="1">
        <v>40251862</v>
      </c>
      <c r="E18" s="1">
        <v>17838833</v>
      </c>
      <c r="F18" s="1">
        <v>13503359</v>
      </c>
      <c r="G18" s="1">
        <v>4460624</v>
      </c>
      <c r="H18" s="1">
        <v>8972091</v>
      </c>
      <c r="I18" s="1">
        <v>4469099</v>
      </c>
      <c r="K18" s="1"/>
      <c r="L18" s="1"/>
      <c r="M18" s="1"/>
      <c r="N18" s="1"/>
      <c r="O18" s="1"/>
      <c r="P18" s="1"/>
    </row>
    <row r="19" spans="1:16" x14ac:dyDescent="0.4">
      <c r="A19" t="s">
        <v>25</v>
      </c>
      <c r="B19">
        <v>2</v>
      </c>
      <c r="C19">
        <v>2</v>
      </c>
      <c r="D19" s="1">
        <v>20127254</v>
      </c>
      <c r="E19" s="1">
        <v>8956155</v>
      </c>
      <c r="F19" s="1">
        <v>6726034</v>
      </c>
      <c r="G19" s="1">
        <v>2246706</v>
      </c>
      <c r="H19" s="1">
        <v>4467293</v>
      </c>
      <c r="I19" s="1">
        <v>2232846</v>
      </c>
      <c r="K19" s="1"/>
      <c r="L19" s="1"/>
      <c r="M19" s="1"/>
      <c r="N19" s="1"/>
      <c r="O19" s="1"/>
      <c r="P19" s="1"/>
    </row>
    <row r="20" spans="1:16" x14ac:dyDescent="0.4">
      <c r="A20" t="s">
        <v>25</v>
      </c>
      <c r="B20">
        <v>2</v>
      </c>
      <c r="C20">
        <v>3</v>
      </c>
      <c r="D20" s="1">
        <v>6710167</v>
      </c>
      <c r="E20" s="1">
        <v>2989779</v>
      </c>
      <c r="F20" s="1">
        <v>2241092</v>
      </c>
      <c r="G20" s="1">
        <v>747754</v>
      </c>
      <c r="H20" s="1">
        <v>1486165</v>
      </c>
      <c r="I20" s="1">
        <v>745467</v>
      </c>
      <c r="K20" s="1"/>
      <c r="L20" s="1"/>
      <c r="M20" s="1"/>
      <c r="N20" s="1"/>
      <c r="O20" s="1"/>
      <c r="P20" s="1"/>
    </row>
    <row r="21" spans="1:16" x14ac:dyDescent="0.4">
      <c r="A21" t="s">
        <v>25</v>
      </c>
      <c r="B21">
        <v>3</v>
      </c>
      <c r="C21">
        <v>1</v>
      </c>
      <c r="D21" s="1">
        <v>30145136</v>
      </c>
      <c r="E21" s="1">
        <v>13436855</v>
      </c>
      <c r="F21" s="1">
        <v>10058874</v>
      </c>
      <c r="G21" s="1">
        <v>3363733</v>
      </c>
      <c r="H21" s="1">
        <v>6749531</v>
      </c>
      <c r="I21" s="1">
        <v>3362086</v>
      </c>
      <c r="K21" s="1"/>
      <c r="L21" s="1"/>
      <c r="M21" s="1"/>
      <c r="N21" s="1"/>
      <c r="O21" s="1"/>
      <c r="P21" s="1"/>
    </row>
    <row r="22" spans="1:16" x14ac:dyDescent="0.4">
      <c r="A22" t="s">
        <v>25</v>
      </c>
      <c r="B22">
        <v>3</v>
      </c>
      <c r="C22">
        <v>2</v>
      </c>
      <c r="D22" s="1">
        <v>15064705</v>
      </c>
      <c r="E22" s="1">
        <v>6717256</v>
      </c>
      <c r="F22" s="1">
        <v>5029029</v>
      </c>
      <c r="G22" s="1">
        <v>1675609</v>
      </c>
      <c r="H22" s="1">
        <v>3347064</v>
      </c>
      <c r="I22" s="1">
        <v>1672529</v>
      </c>
      <c r="K22" s="1"/>
      <c r="L22" s="1"/>
      <c r="M22" s="1"/>
      <c r="N22" s="1"/>
      <c r="O22" s="1"/>
      <c r="P22" s="1"/>
    </row>
    <row r="23" spans="1:16" x14ac:dyDescent="0.4">
      <c r="A23" t="s">
        <v>25</v>
      </c>
      <c r="B23">
        <v>3</v>
      </c>
      <c r="C23">
        <v>3</v>
      </c>
      <c r="D23" s="1">
        <v>5030909</v>
      </c>
      <c r="E23" s="1">
        <v>2244923</v>
      </c>
      <c r="F23" s="1">
        <v>1677452</v>
      </c>
      <c r="G23" s="1">
        <v>562053</v>
      </c>
      <c r="H23" s="1">
        <v>1123878</v>
      </c>
      <c r="I23" s="1">
        <v>561759</v>
      </c>
      <c r="K23" s="1"/>
      <c r="L23" s="1"/>
      <c r="M23" s="1"/>
      <c r="N23" s="1"/>
      <c r="O23" s="1"/>
      <c r="P23" s="1"/>
    </row>
    <row r="24" spans="1:16" x14ac:dyDescent="0.4">
      <c r="A24" t="s">
        <v>25</v>
      </c>
      <c r="B24">
        <v>4</v>
      </c>
      <c r="C24">
        <v>1</v>
      </c>
      <c r="D24" s="1">
        <v>20253595</v>
      </c>
      <c r="E24" s="1">
        <v>8979236</v>
      </c>
      <c r="F24" s="1">
        <v>6749302</v>
      </c>
      <c r="G24" s="1">
        <v>2250369</v>
      </c>
      <c r="H24" s="1">
        <v>4494051</v>
      </c>
      <c r="I24" s="1">
        <v>2250187</v>
      </c>
      <c r="K24" s="1"/>
      <c r="L24" s="1"/>
      <c r="M24" s="1"/>
      <c r="N24" s="1"/>
      <c r="O24" s="1"/>
      <c r="P24" s="1"/>
    </row>
    <row r="25" spans="1:16" x14ac:dyDescent="0.4">
      <c r="A25" t="s">
        <v>25</v>
      </c>
      <c r="B25">
        <v>4</v>
      </c>
      <c r="C25">
        <v>2</v>
      </c>
      <c r="D25" s="1">
        <v>10054623</v>
      </c>
      <c r="E25" s="1">
        <v>4498667</v>
      </c>
      <c r="F25" s="1">
        <v>3355506</v>
      </c>
      <c r="G25" s="1">
        <v>1118404</v>
      </c>
      <c r="H25" s="1">
        <v>2234391</v>
      </c>
      <c r="I25" s="1">
        <v>1124746</v>
      </c>
      <c r="K25" s="1"/>
      <c r="L25" s="1"/>
      <c r="M25" s="1"/>
      <c r="N25" s="1"/>
      <c r="O25" s="1"/>
      <c r="P25" s="1"/>
    </row>
    <row r="26" spans="1:16" x14ac:dyDescent="0.4">
      <c r="A26" t="s">
        <v>25</v>
      </c>
      <c r="B26">
        <v>4</v>
      </c>
      <c r="C26">
        <v>3</v>
      </c>
      <c r="D26" s="1">
        <v>3362025</v>
      </c>
      <c r="E26" s="1">
        <v>1495265</v>
      </c>
      <c r="F26" s="1">
        <v>1125110</v>
      </c>
      <c r="G26" s="1">
        <v>374271</v>
      </c>
      <c r="H26" s="1">
        <v>747189</v>
      </c>
      <c r="I26" s="1">
        <v>373847</v>
      </c>
      <c r="K26" s="1"/>
      <c r="L26" s="1"/>
      <c r="M26" s="1"/>
      <c r="N26" s="1"/>
      <c r="O26" s="1"/>
      <c r="P26" s="1"/>
    </row>
    <row r="27" spans="1:16" x14ac:dyDescent="0.4">
      <c r="D27" s="1">
        <f>SUM(D3:D26)</f>
        <v>209852582</v>
      </c>
      <c r="E27" s="1">
        <f t="shared" ref="E27:I27" si="0">SUM(E3:E26)</f>
        <v>93297247</v>
      </c>
      <c r="F27" s="1">
        <f t="shared" si="0"/>
        <v>70067125</v>
      </c>
      <c r="G27" s="1">
        <f t="shared" si="0"/>
        <v>23333539</v>
      </c>
      <c r="H27" s="1">
        <f t="shared" si="0"/>
        <v>46690073</v>
      </c>
      <c r="I27" s="1">
        <f t="shared" si="0"/>
        <v>23324942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ADF6-F8CB-4E7C-9710-4BF0D49881BF}">
  <dimension ref="A1:P26"/>
  <sheetViews>
    <sheetView workbookViewId="0">
      <selection activeCell="E3" sqref="E3:E13"/>
    </sheetView>
  </sheetViews>
  <sheetFormatPr defaultColWidth="8.765625" defaultRowHeight="14.6" x14ac:dyDescent="0.4"/>
  <cols>
    <col min="1" max="1" width="13.765625" customWidth="1"/>
    <col min="2" max="3" width="11" customWidth="1"/>
    <col min="4" max="9" width="13.69140625" customWidth="1"/>
  </cols>
  <sheetData>
    <row r="1" spans="1:16" x14ac:dyDescent="0.4">
      <c r="A1" t="s">
        <v>16</v>
      </c>
      <c r="D1" t="s">
        <v>17</v>
      </c>
    </row>
    <row r="2" spans="1:16" x14ac:dyDescent="0.4">
      <c r="A2" t="s">
        <v>0</v>
      </c>
      <c r="B2" t="s">
        <v>3</v>
      </c>
      <c r="C2" t="s">
        <v>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16" x14ac:dyDescent="0.4">
      <c r="A3" t="s">
        <v>24</v>
      </c>
      <c r="B3">
        <v>1</v>
      </c>
      <c r="C3">
        <v>1</v>
      </c>
      <c r="D3" s="1">
        <v>1726774</v>
      </c>
      <c r="E3" s="1">
        <v>556803</v>
      </c>
      <c r="F3" s="1">
        <v>549047</v>
      </c>
      <c r="G3" s="1">
        <v>185052</v>
      </c>
      <c r="H3" s="1">
        <v>380660</v>
      </c>
      <c r="I3" s="1">
        <v>185038</v>
      </c>
      <c r="K3" s="1"/>
      <c r="L3" s="1"/>
      <c r="M3" s="1"/>
      <c r="N3" s="1"/>
      <c r="O3" s="1"/>
      <c r="P3" s="1"/>
    </row>
    <row r="4" spans="1:16" x14ac:dyDescent="0.4">
      <c r="A4" t="s">
        <v>24</v>
      </c>
      <c r="B4">
        <v>1</v>
      </c>
      <c r="C4">
        <v>2</v>
      </c>
      <c r="D4" s="1">
        <v>662984</v>
      </c>
      <c r="E4" s="1">
        <v>285231</v>
      </c>
      <c r="F4" s="1">
        <v>283785</v>
      </c>
      <c r="G4" s="1">
        <v>92461</v>
      </c>
      <c r="H4" s="1">
        <v>189308</v>
      </c>
      <c r="I4" s="1">
        <v>95223</v>
      </c>
      <c r="K4" s="1"/>
      <c r="L4" s="1"/>
      <c r="M4" s="1"/>
      <c r="N4" s="1"/>
      <c r="O4" s="1"/>
      <c r="P4" s="1"/>
    </row>
    <row r="5" spans="1:16" x14ac:dyDescent="0.4">
      <c r="A5" t="s">
        <v>24</v>
      </c>
      <c r="B5">
        <v>1</v>
      </c>
      <c r="C5">
        <v>3</v>
      </c>
      <c r="D5" s="1">
        <v>228601</v>
      </c>
      <c r="E5" s="1">
        <v>94733</v>
      </c>
      <c r="F5" s="1">
        <v>92825</v>
      </c>
      <c r="G5" s="1">
        <v>31663</v>
      </c>
      <c r="H5" s="1">
        <v>64078</v>
      </c>
      <c r="I5" s="1">
        <v>31197</v>
      </c>
      <c r="K5" s="1"/>
      <c r="L5" s="1"/>
      <c r="M5" s="1"/>
      <c r="N5" s="1"/>
      <c r="O5" s="1"/>
      <c r="P5" s="1"/>
    </row>
    <row r="6" spans="1:16" x14ac:dyDescent="0.4">
      <c r="A6" t="s">
        <v>24</v>
      </c>
      <c r="B6">
        <v>2</v>
      </c>
      <c r="C6">
        <v>1</v>
      </c>
      <c r="D6" s="1">
        <v>6654041</v>
      </c>
      <c r="E6" s="1">
        <v>1915849</v>
      </c>
      <c r="F6" s="1">
        <v>1945692</v>
      </c>
      <c r="G6" s="1">
        <v>649133</v>
      </c>
      <c r="H6" s="1">
        <v>1515901</v>
      </c>
      <c r="I6" s="1">
        <v>747175</v>
      </c>
      <c r="K6" s="1"/>
      <c r="L6" s="1"/>
      <c r="M6" s="1"/>
      <c r="N6" s="1"/>
      <c r="O6" s="1"/>
      <c r="P6" s="1"/>
    </row>
    <row r="7" spans="1:16" x14ac:dyDescent="0.4">
      <c r="A7" t="s">
        <v>24</v>
      </c>
      <c r="B7">
        <v>2</v>
      </c>
      <c r="C7">
        <v>2</v>
      </c>
      <c r="D7" s="1">
        <v>2698878</v>
      </c>
      <c r="E7" s="1">
        <v>946853</v>
      </c>
      <c r="F7" s="1">
        <v>948775</v>
      </c>
      <c r="G7" s="1">
        <v>317254</v>
      </c>
      <c r="H7" s="1">
        <v>744221</v>
      </c>
      <c r="I7" s="1">
        <v>382191</v>
      </c>
      <c r="K7" s="1"/>
      <c r="L7" s="1"/>
      <c r="M7" s="1"/>
      <c r="N7" s="1"/>
      <c r="O7" s="1"/>
      <c r="P7" s="1"/>
    </row>
    <row r="8" spans="1:16" x14ac:dyDescent="0.4">
      <c r="A8" t="s">
        <v>24</v>
      </c>
      <c r="B8">
        <v>2</v>
      </c>
      <c r="C8">
        <v>3</v>
      </c>
      <c r="D8" s="1">
        <v>888879</v>
      </c>
      <c r="E8" s="1">
        <v>314025</v>
      </c>
      <c r="F8" s="1">
        <v>313157</v>
      </c>
      <c r="G8" s="1">
        <v>106563</v>
      </c>
      <c r="H8" s="1">
        <v>246013</v>
      </c>
      <c r="I8" s="1">
        <v>125879</v>
      </c>
      <c r="K8" s="1"/>
      <c r="L8" s="1"/>
      <c r="M8" s="1"/>
      <c r="N8" s="1"/>
      <c r="O8" s="1"/>
      <c r="P8" s="1"/>
    </row>
    <row r="9" spans="1:16" x14ac:dyDescent="0.4">
      <c r="A9" t="s">
        <v>24</v>
      </c>
      <c r="B9">
        <v>3</v>
      </c>
      <c r="C9">
        <v>1</v>
      </c>
      <c r="D9" s="1">
        <v>4976090</v>
      </c>
      <c r="E9" s="1">
        <v>1210034</v>
      </c>
      <c r="F9" s="1">
        <v>1185977</v>
      </c>
      <c r="G9" s="1">
        <v>395897</v>
      </c>
      <c r="H9" s="1">
        <v>1141583</v>
      </c>
      <c r="I9" s="1">
        <v>559132</v>
      </c>
      <c r="K9" s="1"/>
      <c r="L9" s="1"/>
      <c r="M9" s="1"/>
      <c r="N9" s="1"/>
      <c r="O9" s="1"/>
      <c r="P9" s="1"/>
    </row>
    <row r="10" spans="1:16" x14ac:dyDescent="0.4">
      <c r="A10" t="s">
        <v>24</v>
      </c>
      <c r="B10">
        <v>3</v>
      </c>
      <c r="C10">
        <v>2</v>
      </c>
      <c r="D10" s="1">
        <v>2050099</v>
      </c>
      <c r="E10" s="1">
        <v>578116</v>
      </c>
      <c r="F10" s="1">
        <v>580529</v>
      </c>
      <c r="G10" s="1">
        <v>194549</v>
      </c>
      <c r="H10" s="1">
        <v>573169</v>
      </c>
      <c r="I10" s="1">
        <v>273887</v>
      </c>
      <c r="K10" s="1"/>
      <c r="L10" s="1"/>
      <c r="M10" s="1"/>
      <c r="N10" s="1"/>
      <c r="O10" s="1"/>
      <c r="P10" s="1"/>
    </row>
    <row r="11" spans="1:16" x14ac:dyDescent="0.4">
      <c r="A11" t="s">
        <v>24</v>
      </c>
      <c r="B11">
        <v>3</v>
      </c>
      <c r="C11">
        <v>3</v>
      </c>
      <c r="D11" s="1">
        <v>668719</v>
      </c>
      <c r="E11" s="1">
        <v>196149</v>
      </c>
      <c r="F11" s="1">
        <v>198781</v>
      </c>
      <c r="G11" s="1">
        <v>65618</v>
      </c>
      <c r="H11" s="1">
        <v>182625</v>
      </c>
      <c r="I11" s="1">
        <v>93338</v>
      </c>
      <c r="K11" s="1"/>
      <c r="L11" s="1"/>
      <c r="M11" s="1"/>
      <c r="N11" s="1"/>
      <c r="O11" s="1"/>
      <c r="P11" s="1"/>
    </row>
    <row r="12" spans="1:16" x14ac:dyDescent="0.4">
      <c r="A12" t="s">
        <v>24</v>
      </c>
      <c r="B12">
        <v>4</v>
      </c>
      <c r="C12">
        <v>1</v>
      </c>
      <c r="D12" s="1">
        <v>3426463</v>
      </c>
      <c r="E12" s="1">
        <v>668771</v>
      </c>
      <c r="F12" s="1">
        <v>677297</v>
      </c>
      <c r="G12" s="1">
        <v>226753</v>
      </c>
      <c r="H12" s="1">
        <v>745281</v>
      </c>
      <c r="I12" s="1">
        <v>372428</v>
      </c>
      <c r="K12" s="1"/>
      <c r="L12" s="1"/>
      <c r="M12" s="1"/>
      <c r="N12" s="1"/>
      <c r="O12" s="1"/>
      <c r="P12" s="1"/>
    </row>
    <row r="13" spans="1:16" x14ac:dyDescent="0.4">
      <c r="A13" t="s">
        <v>24</v>
      </c>
      <c r="B13">
        <v>4</v>
      </c>
      <c r="C13">
        <v>2</v>
      </c>
      <c r="D13" s="1">
        <v>1330541</v>
      </c>
      <c r="E13" s="1">
        <v>335603</v>
      </c>
      <c r="F13" s="1">
        <v>339271</v>
      </c>
      <c r="G13" s="1">
        <v>112551</v>
      </c>
      <c r="H13" s="1">
        <v>374785</v>
      </c>
      <c r="I13" s="1">
        <v>189737</v>
      </c>
      <c r="K13" s="1"/>
      <c r="L13" s="1"/>
      <c r="M13" s="1"/>
      <c r="N13" s="1"/>
      <c r="O13" s="1"/>
      <c r="P13" s="1"/>
    </row>
    <row r="14" spans="1:16" x14ac:dyDescent="0.4">
      <c r="A14" t="s">
        <v>24</v>
      </c>
      <c r="B14">
        <v>4</v>
      </c>
      <c r="C14">
        <v>3</v>
      </c>
      <c r="D14" s="1">
        <v>443077</v>
      </c>
      <c r="E14" s="1">
        <v>114217</v>
      </c>
      <c r="F14" s="1">
        <v>114156</v>
      </c>
      <c r="G14" s="1">
        <v>37254</v>
      </c>
      <c r="H14" s="1">
        <v>125916</v>
      </c>
      <c r="I14" s="1">
        <v>62799</v>
      </c>
      <c r="K14" s="1"/>
      <c r="L14" s="1"/>
      <c r="M14" s="1"/>
      <c r="N14" s="1"/>
      <c r="O14" s="1"/>
      <c r="P14" s="1"/>
    </row>
    <row r="15" spans="1:16" x14ac:dyDescent="0.4">
      <c r="A15" t="s">
        <v>25</v>
      </c>
      <c r="B15">
        <v>1</v>
      </c>
      <c r="C15">
        <v>1</v>
      </c>
      <c r="D15" s="1">
        <v>6671271</v>
      </c>
      <c r="E15" s="1">
        <v>3028681</v>
      </c>
      <c r="F15" s="1">
        <v>2251083</v>
      </c>
      <c r="G15" s="1">
        <v>756574</v>
      </c>
      <c r="H15" s="1">
        <v>1494953</v>
      </c>
      <c r="I15" s="1">
        <v>750041</v>
      </c>
      <c r="K15" s="1"/>
      <c r="L15" s="1"/>
      <c r="M15" s="1"/>
      <c r="N15" s="1"/>
      <c r="O15" s="1"/>
      <c r="P15" s="1"/>
    </row>
    <row r="16" spans="1:16" x14ac:dyDescent="0.4">
      <c r="A16" t="s">
        <v>25</v>
      </c>
      <c r="B16">
        <v>1</v>
      </c>
      <c r="C16">
        <v>2</v>
      </c>
      <c r="D16" s="1">
        <v>2705659</v>
      </c>
      <c r="E16" s="1">
        <v>1525127</v>
      </c>
      <c r="F16" s="1">
        <v>1129324</v>
      </c>
      <c r="G16" s="1">
        <v>383049</v>
      </c>
      <c r="H16" s="1">
        <v>764153</v>
      </c>
      <c r="I16" s="1">
        <v>378761</v>
      </c>
      <c r="K16" s="1"/>
      <c r="L16" s="1"/>
      <c r="M16" s="1"/>
      <c r="N16" s="1"/>
      <c r="O16" s="1"/>
      <c r="P16" s="1"/>
    </row>
    <row r="17" spans="1:16" x14ac:dyDescent="0.4">
      <c r="A17" t="s">
        <v>25</v>
      </c>
      <c r="B17">
        <v>1</v>
      </c>
      <c r="C17">
        <v>3</v>
      </c>
      <c r="D17" s="1">
        <v>885901</v>
      </c>
      <c r="E17" s="1">
        <v>507015</v>
      </c>
      <c r="F17" s="1">
        <v>372125</v>
      </c>
      <c r="G17" s="1">
        <v>125193</v>
      </c>
      <c r="H17" s="1">
        <v>249429</v>
      </c>
      <c r="I17" s="1">
        <v>122869</v>
      </c>
      <c r="K17" s="1"/>
      <c r="L17" s="1"/>
      <c r="M17" s="1"/>
      <c r="N17" s="1"/>
      <c r="O17" s="1"/>
      <c r="P17" s="1"/>
    </row>
    <row r="18" spans="1:16" x14ac:dyDescent="0.4">
      <c r="A18" t="s">
        <v>25</v>
      </c>
      <c r="B18">
        <v>2</v>
      </c>
      <c r="C18">
        <v>1</v>
      </c>
      <c r="D18" s="1">
        <v>26508571</v>
      </c>
      <c r="E18" s="1">
        <v>11848965</v>
      </c>
      <c r="F18" s="1">
        <v>7630961</v>
      </c>
      <c r="G18" s="1">
        <v>2507195</v>
      </c>
      <c r="H18" s="1">
        <v>6142295</v>
      </c>
      <c r="I18" s="1">
        <v>2972961</v>
      </c>
      <c r="K18" s="1"/>
      <c r="L18" s="1"/>
      <c r="M18" s="1"/>
      <c r="N18" s="1"/>
      <c r="O18" s="1"/>
      <c r="P18" s="1"/>
    </row>
    <row r="19" spans="1:16" x14ac:dyDescent="0.4">
      <c r="A19" t="s">
        <v>25</v>
      </c>
      <c r="B19">
        <v>2</v>
      </c>
      <c r="C19">
        <v>2</v>
      </c>
      <c r="D19" s="1">
        <v>10862488</v>
      </c>
      <c r="E19" s="1">
        <v>5949538</v>
      </c>
      <c r="F19" s="1">
        <v>3910349</v>
      </c>
      <c r="G19" s="1">
        <v>1279642</v>
      </c>
      <c r="H19" s="1">
        <v>2935823</v>
      </c>
      <c r="I19" s="1">
        <v>1517003</v>
      </c>
      <c r="K19" s="1"/>
      <c r="L19" s="1"/>
      <c r="M19" s="1"/>
      <c r="N19" s="1"/>
      <c r="O19" s="1"/>
      <c r="P19" s="1"/>
    </row>
    <row r="20" spans="1:16" x14ac:dyDescent="0.4">
      <c r="A20" t="s">
        <v>25</v>
      </c>
      <c r="B20">
        <v>2</v>
      </c>
      <c r="C20">
        <v>3</v>
      </c>
      <c r="D20" s="1">
        <v>3557381</v>
      </c>
      <c r="E20" s="1">
        <v>1963290</v>
      </c>
      <c r="F20" s="1">
        <v>1294211</v>
      </c>
      <c r="G20" s="1">
        <v>435125</v>
      </c>
      <c r="H20" s="1">
        <v>987457</v>
      </c>
      <c r="I20" s="1">
        <v>496235</v>
      </c>
      <c r="K20" s="1"/>
      <c r="L20" s="1"/>
      <c r="M20" s="1"/>
      <c r="N20" s="1"/>
      <c r="O20" s="1"/>
      <c r="P20" s="1"/>
    </row>
    <row r="21" spans="1:16" x14ac:dyDescent="0.4">
      <c r="A21" t="s">
        <v>25</v>
      </c>
      <c r="B21">
        <v>3</v>
      </c>
      <c r="C21">
        <v>1</v>
      </c>
      <c r="D21" s="1">
        <v>20518685</v>
      </c>
      <c r="E21" s="1">
        <v>8818721</v>
      </c>
      <c r="F21" s="1">
        <v>4643879</v>
      </c>
      <c r="G21" s="1">
        <v>1569764</v>
      </c>
      <c r="H21" s="1">
        <v>4588943</v>
      </c>
      <c r="I21" s="1">
        <v>2256413</v>
      </c>
      <c r="K21" s="1"/>
      <c r="L21" s="1"/>
      <c r="M21" s="1"/>
      <c r="N21" s="1"/>
      <c r="O21" s="1"/>
      <c r="P21" s="1"/>
    </row>
    <row r="22" spans="1:16" x14ac:dyDescent="0.4">
      <c r="A22" t="s">
        <v>25</v>
      </c>
      <c r="B22">
        <v>3</v>
      </c>
      <c r="C22">
        <v>2</v>
      </c>
      <c r="D22" s="1">
        <v>8002638</v>
      </c>
      <c r="E22" s="1">
        <v>4444501</v>
      </c>
      <c r="F22" s="1">
        <v>2327145</v>
      </c>
      <c r="G22" s="1">
        <v>781849</v>
      </c>
      <c r="H22" s="1">
        <v>2206017</v>
      </c>
      <c r="I22" s="1">
        <v>1140351</v>
      </c>
      <c r="K22" s="1"/>
      <c r="L22" s="1"/>
      <c r="M22" s="1"/>
      <c r="N22" s="1"/>
      <c r="O22" s="1"/>
      <c r="P22" s="1"/>
    </row>
    <row r="23" spans="1:16" x14ac:dyDescent="0.4">
      <c r="A23" t="s">
        <v>25</v>
      </c>
      <c r="B23">
        <v>3</v>
      </c>
      <c r="C23">
        <v>3</v>
      </c>
      <c r="D23" s="1">
        <v>2752288</v>
      </c>
      <c r="E23" s="1">
        <v>1492783</v>
      </c>
      <c r="F23" s="1">
        <v>777705</v>
      </c>
      <c r="G23" s="1">
        <v>258123</v>
      </c>
      <c r="H23" s="1">
        <v>737651</v>
      </c>
      <c r="I23" s="1">
        <v>376409</v>
      </c>
      <c r="K23" s="1"/>
      <c r="L23" s="1"/>
      <c r="M23" s="1"/>
      <c r="N23" s="1"/>
      <c r="O23" s="1"/>
      <c r="P23" s="1"/>
    </row>
    <row r="24" spans="1:16" x14ac:dyDescent="0.4">
      <c r="A24" t="s">
        <v>25</v>
      </c>
      <c r="B24">
        <v>4</v>
      </c>
      <c r="C24">
        <v>1</v>
      </c>
      <c r="D24" s="1">
        <v>13603632</v>
      </c>
      <c r="E24" s="1">
        <v>5941115</v>
      </c>
      <c r="F24" s="1">
        <v>2705225</v>
      </c>
      <c r="G24" s="1">
        <v>901530</v>
      </c>
      <c r="H24" s="1">
        <v>3051109</v>
      </c>
      <c r="I24" s="1">
        <v>1475726</v>
      </c>
      <c r="K24" s="1"/>
      <c r="L24" s="1"/>
      <c r="M24" s="1"/>
      <c r="N24" s="1"/>
      <c r="O24" s="1"/>
      <c r="P24" s="1"/>
    </row>
    <row r="25" spans="1:16" x14ac:dyDescent="0.4">
      <c r="A25" t="s">
        <v>25</v>
      </c>
      <c r="B25">
        <v>4</v>
      </c>
      <c r="C25">
        <v>2</v>
      </c>
      <c r="D25" s="1">
        <v>5444259</v>
      </c>
      <c r="E25" s="1">
        <v>2987306</v>
      </c>
      <c r="F25" s="1">
        <v>1334909</v>
      </c>
      <c r="G25" s="1">
        <v>448831</v>
      </c>
      <c r="H25" s="1">
        <v>1464405</v>
      </c>
      <c r="I25" s="1">
        <v>769258</v>
      </c>
      <c r="K25" s="1"/>
      <c r="L25" s="1"/>
      <c r="M25" s="1"/>
      <c r="N25" s="1"/>
      <c r="O25" s="1"/>
      <c r="P25" s="1"/>
    </row>
    <row r="26" spans="1:16" x14ac:dyDescent="0.4">
      <c r="A26" t="s">
        <v>25</v>
      </c>
      <c r="B26">
        <v>4</v>
      </c>
      <c r="C26">
        <v>3</v>
      </c>
      <c r="D26" s="1">
        <v>1825875</v>
      </c>
      <c r="E26" s="1">
        <v>1020460</v>
      </c>
      <c r="F26" s="1">
        <v>449680</v>
      </c>
      <c r="G26" s="1">
        <v>148447</v>
      </c>
      <c r="H26" s="1">
        <v>506203</v>
      </c>
      <c r="I26" s="1">
        <v>247982</v>
      </c>
      <c r="K26" s="1"/>
      <c r="L26" s="1"/>
      <c r="M26" s="1"/>
      <c r="N26" s="1"/>
      <c r="O26" s="1"/>
      <c r="P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A4C5-2AB5-47DA-9FD0-A25A11376FE4}">
  <dimension ref="A1:I26"/>
  <sheetViews>
    <sheetView workbookViewId="0">
      <selection activeCell="K20" sqref="K20"/>
    </sheetView>
  </sheetViews>
  <sheetFormatPr defaultRowHeight="14.6" x14ac:dyDescent="0.4"/>
  <cols>
    <col min="4" max="4" width="10.3828125" bestFit="1" customWidth="1"/>
  </cols>
  <sheetData>
    <row r="1" spans="1:9" x14ac:dyDescent="0.4">
      <c r="A1" t="s">
        <v>16</v>
      </c>
      <c r="D1" t="s">
        <v>17</v>
      </c>
    </row>
    <row r="2" spans="1:9" x14ac:dyDescent="0.4">
      <c r="A2" t="s">
        <v>0</v>
      </c>
      <c r="B2" t="s">
        <v>3</v>
      </c>
      <c r="C2" t="s">
        <v>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9" x14ac:dyDescent="0.4">
      <c r="A3" t="s">
        <v>24</v>
      </c>
      <c r="B3">
        <v>1</v>
      </c>
      <c r="C3">
        <v>1</v>
      </c>
      <c r="D3" s="6">
        <f>'Losses and LAE'!D3/Premiums!D3</f>
        <v>0.68484975158553352</v>
      </c>
      <c r="E3" s="6">
        <f>'Losses and LAE'!E3/Premiums!E3</f>
        <v>0.49742133808120398</v>
      </c>
      <c r="F3" s="6">
        <f>'Losses and LAE'!F3/Premiums!F3</f>
        <v>0.65607281426364217</v>
      </c>
      <c r="G3" s="6">
        <f>'Losses and LAE'!G3/Premiums!G3</f>
        <v>0.65970075826444075</v>
      </c>
      <c r="H3" s="6">
        <f>'Losses and LAE'!H3/Premiums!H3</f>
        <v>0.67659296887914078</v>
      </c>
      <c r="I3" s="6">
        <f>'Losses and LAE'!I3/Premiums!I3</f>
        <v>0.66099400226477911</v>
      </c>
    </row>
    <row r="4" spans="1:9" x14ac:dyDescent="0.4">
      <c r="A4" t="s">
        <v>24</v>
      </c>
      <c r="B4">
        <v>1</v>
      </c>
      <c r="C4">
        <v>2</v>
      </c>
      <c r="D4" s="6">
        <f>'Losses and LAE'!D4/Premiums!D4</f>
        <v>0.52408145196989819</v>
      </c>
      <c r="E4" s="6">
        <f>'Losses and LAE'!E4/Premiums!E4</f>
        <v>0.51053261809258399</v>
      </c>
      <c r="F4" s="6">
        <f>'Losses and LAE'!F4/Premiums!F4</f>
        <v>0.67827053382569102</v>
      </c>
      <c r="G4" s="6">
        <f>'Losses and LAE'!G4/Premiums!G4</f>
        <v>0.66233282473370159</v>
      </c>
      <c r="H4" s="6">
        <f>'Losses and LAE'!H4/Premiums!H4</f>
        <v>0.67530169692256659</v>
      </c>
      <c r="I4" s="6">
        <f>'Losses and LAE'!I4/Premiums!I4</f>
        <v>0.68237224734318902</v>
      </c>
    </row>
    <row r="5" spans="1:9" x14ac:dyDescent="0.4">
      <c r="A5" t="s">
        <v>24</v>
      </c>
      <c r="B5">
        <v>1</v>
      </c>
      <c r="C5">
        <v>3</v>
      </c>
      <c r="D5" s="6">
        <f>'Losses and LAE'!D5/Premiums!D5</f>
        <v>0.5419217037981765</v>
      </c>
      <c r="E5" s="6">
        <f>'Losses and LAE'!E5/Premiums!E5</f>
        <v>0.50848885954600842</v>
      </c>
      <c r="F5" s="6">
        <f>'Losses and LAE'!F5/Premiums!F5</f>
        <v>0.66556486075658927</v>
      </c>
      <c r="G5" s="6">
        <f>'Losses and LAE'!G5/Premiums!G5</f>
        <v>0.67700827471188185</v>
      </c>
      <c r="H5" s="6">
        <f>'Losses and LAE'!H5/Premiums!H5</f>
        <v>0.68364451082897681</v>
      </c>
      <c r="I5" s="6">
        <f>'Losses and LAE'!I5/Premiums!I5</f>
        <v>0.6707878214500731</v>
      </c>
    </row>
    <row r="6" spans="1:9" x14ac:dyDescent="0.4">
      <c r="A6" t="s">
        <v>24</v>
      </c>
      <c r="B6">
        <v>2</v>
      </c>
      <c r="C6">
        <v>1</v>
      </c>
      <c r="D6" s="6">
        <f>'Losses and LAE'!D6/Premiums!D6</f>
        <v>0.65853257598265147</v>
      </c>
      <c r="E6" s="6">
        <f>'Losses and LAE'!E6/Premiums!E6</f>
        <v>0.42684320118420449</v>
      </c>
      <c r="F6" s="6">
        <f>'Losses and LAE'!F6/Premiums!F6</f>
        <v>0.57709124883213947</v>
      </c>
      <c r="G6" s="6">
        <f>'Losses and LAE'!G6/Premiums!G6</f>
        <v>0.57707995142497981</v>
      </c>
      <c r="H6" s="6">
        <f>'Losses and LAE'!H6/Premiums!H6</f>
        <v>0.67495139008549199</v>
      </c>
      <c r="I6" s="6">
        <f>'Losses and LAE'!I6/Premiums!I6</f>
        <v>0.66876198812979359</v>
      </c>
    </row>
    <row r="7" spans="1:9" x14ac:dyDescent="0.4">
      <c r="A7" t="s">
        <v>24</v>
      </c>
      <c r="B7">
        <v>2</v>
      </c>
      <c r="C7">
        <v>2</v>
      </c>
      <c r="D7" s="6">
        <f>'Losses and LAE'!D7/Premiums!D7</f>
        <v>0.53571636992182836</v>
      </c>
      <c r="E7" s="6">
        <f>'Losses and LAE'!E7/Premiums!E7</f>
        <v>0.42336014136253702</v>
      </c>
      <c r="F7" s="6">
        <f>'Losses and LAE'!F7/Premiums!F7</f>
        <v>0.5648788288695934</v>
      </c>
      <c r="G7" s="6">
        <f>'Losses and LAE'!G7/Premiums!G7</f>
        <v>0.56755572173035673</v>
      </c>
      <c r="H7" s="6">
        <f>'Losses and LAE'!H7/Premiums!H7</f>
        <v>0.66545924065392359</v>
      </c>
      <c r="I7" s="6">
        <f>'Losses and LAE'!I7/Premiums!I7</f>
        <v>0.67930212593512884</v>
      </c>
    </row>
    <row r="8" spans="1:9" x14ac:dyDescent="0.4">
      <c r="A8" t="s">
        <v>24</v>
      </c>
      <c r="B8">
        <v>2</v>
      </c>
      <c r="C8">
        <v>3</v>
      </c>
      <c r="D8" s="6">
        <f>'Losses and LAE'!D8/Premiums!D8</f>
        <v>0.53097359405754296</v>
      </c>
      <c r="E8" s="6">
        <f>'Losses and LAE'!E8/Premiums!E8</f>
        <v>0.41861460262106531</v>
      </c>
      <c r="F8" s="6">
        <f>'Losses and LAE'!F8/Premiums!F8</f>
        <v>0.55845501430212074</v>
      </c>
      <c r="G8" s="6">
        <f>'Losses and LAE'!G8/Premiums!G8</f>
        <v>0.56864230865692988</v>
      </c>
      <c r="H8" s="6">
        <f>'Losses and LAE'!H8/Premiums!H8</f>
        <v>0.6613359355258418</v>
      </c>
      <c r="I8" s="6">
        <f>'Losses and LAE'!I8/Premiums!I8</f>
        <v>0.67450234427327527</v>
      </c>
    </row>
    <row r="9" spans="1:9" x14ac:dyDescent="0.4">
      <c r="A9" t="s">
        <v>24</v>
      </c>
      <c r="B9">
        <v>3</v>
      </c>
      <c r="C9">
        <v>1</v>
      </c>
      <c r="D9" s="6">
        <f>'Losses and LAE'!D9/Premiums!D9</f>
        <v>0.65691130537638387</v>
      </c>
      <c r="E9" s="6">
        <f>'Losses and LAE'!E9/Premiums!E9</f>
        <v>0.35898436978504561</v>
      </c>
      <c r="F9" s="6">
        <f>'Losses and LAE'!F9/Premiums!F9</f>
        <v>0.47022964383576854</v>
      </c>
      <c r="G9" s="6">
        <f>'Losses and LAE'!G9/Premiums!G9</f>
        <v>0.47313823652788717</v>
      </c>
      <c r="H9" s="6">
        <f>'Losses and LAE'!H9/Premiums!H9</f>
        <v>0.67970991625558574</v>
      </c>
      <c r="I9" s="6">
        <f>'Losses and LAE'!I9/Premiums!I9</f>
        <v>0.6686494198234656</v>
      </c>
    </row>
    <row r="10" spans="1:9" x14ac:dyDescent="0.4">
      <c r="A10" t="s">
        <v>24</v>
      </c>
      <c r="B10">
        <v>3</v>
      </c>
      <c r="C10">
        <v>2</v>
      </c>
      <c r="D10" s="6">
        <f>'Losses and LAE'!D10/Premiums!D10</f>
        <v>0.54233744616899426</v>
      </c>
      <c r="E10" s="6">
        <f>'Losses and LAE'!E10/Premiums!E10</f>
        <v>0.3444075680589736</v>
      </c>
      <c r="F10" s="6">
        <f>'Losses and LAE'!F10/Premiums!F10</f>
        <v>0.46021061610442654</v>
      </c>
      <c r="G10" s="6">
        <f>'Losses and LAE'!G10/Premiums!G10</f>
        <v>0.46322183094399644</v>
      </c>
      <c r="H10" s="6">
        <f>'Losses and LAE'!H10/Premiums!H10</f>
        <v>0.68025065720372424</v>
      </c>
      <c r="I10" s="6">
        <f>'Losses and LAE'!I10/Premiums!I10</f>
        <v>0.65524930081892108</v>
      </c>
    </row>
    <row r="11" spans="1:9" x14ac:dyDescent="0.4">
      <c r="A11" t="s">
        <v>24</v>
      </c>
      <c r="B11">
        <v>3</v>
      </c>
      <c r="C11">
        <v>3</v>
      </c>
      <c r="D11" s="6">
        <f>'Losses and LAE'!D11/Premiums!D11</f>
        <v>0.52941758594973409</v>
      </c>
      <c r="E11" s="6">
        <f>'Losses and LAE'!E11/Premiums!E11</f>
        <v>0.35001231250200748</v>
      </c>
      <c r="F11" s="6">
        <f>'Losses and LAE'!F11/Premiums!F11</f>
        <v>0.47278941497420579</v>
      </c>
      <c r="G11" s="6">
        <f>'Losses and LAE'!G11/Premiums!G11</f>
        <v>0.46973341350972136</v>
      </c>
      <c r="H11" s="6">
        <f>'Losses and LAE'!H11/Premiums!H11</f>
        <v>0.65527919109573807</v>
      </c>
      <c r="I11" s="6">
        <f>'Losses and LAE'!I11/Premiums!I11</f>
        <v>0.66565871957438005</v>
      </c>
    </row>
    <row r="12" spans="1:9" x14ac:dyDescent="0.4">
      <c r="A12" t="s">
        <v>24</v>
      </c>
      <c r="B12">
        <v>4</v>
      </c>
      <c r="C12">
        <v>1</v>
      </c>
      <c r="D12" s="6">
        <f>'Losses and LAE'!D12/Premiums!D12</f>
        <v>0.67772391486358641</v>
      </c>
      <c r="E12" s="6">
        <f>'Losses and LAE'!E12/Premiums!E12</f>
        <v>0.29963650472839559</v>
      </c>
      <c r="F12" s="6">
        <f>'Losses and LAE'!F12/Premiums!F12</f>
        <v>0.4023537770511787</v>
      </c>
      <c r="G12" s="6">
        <f>'Losses and LAE'!G12/Premiums!G12</f>
        <v>0.40570357103878424</v>
      </c>
      <c r="H12" s="6">
        <f>'Losses and LAE'!H12/Premiums!H12</f>
        <v>0.6677863925085592</v>
      </c>
      <c r="I12" s="6">
        <f>'Losses and LAE'!I12/Premiums!I12</f>
        <v>0.66713479623824457</v>
      </c>
    </row>
    <row r="13" spans="1:9" x14ac:dyDescent="0.4">
      <c r="A13" t="s">
        <v>24</v>
      </c>
      <c r="B13">
        <v>4</v>
      </c>
      <c r="C13">
        <v>2</v>
      </c>
      <c r="D13" s="6">
        <f>'Losses and LAE'!D13/Premiums!D13</f>
        <v>0.52594024981095588</v>
      </c>
      <c r="E13" s="6">
        <f>'Losses and LAE'!E13/Premiums!E13</f>
        <v>0.30090422885014545</v>
      </c>
      <c r="F13" s="6">
        <f>'Losses and LAE'!F13/Premiums!F13</f>
        <v>0.40501458797912321</v>
      </c>
      <c r="G13" s="6">
        <f>'Losses and LAE'!G13/Premiums!G13</f>
        <v>0.40273304993773884</v>
      </c>
      <c r="H13" s="6">
        <f>'Losses and LAE'!H13/Premiums!H13</f>
        <v>0.66918125574710074</v>
      </c>
      <c r="I13" s="6">
        <f>'Losses and LAE'!I13/Premiums!I13</f>
        <v>0.67452930804015809</v>
      </c>
    </row>
    <row r="14" spans="1:9" x14ac:dyDescent="0.4">
      <c r="A14" t="s">
        <v>24</v>
      </c>
      <c r="B14">
        <v>4</v>
      </c>
      <c r="C14">
        <v>3</v>
      </c>
      <c r="D14" s="6">
        <f>'Losses and LAE'!D14/Premiums!D14</f>
        <v>0.52615722598266235</v>
      </c>
      <c r="E14" s="6">
        <f>'Losses and LAE'!E14/Premiums!E14</f>
        <v>0.30682050179981735</v>
      </c>
      <c r="F14" s="6">
        <f>'Losses and LAE'!F14/Premiums!F14</f>
        <v>0.40972815436410231</v>
      </c>
      <c r="G14" s="6">
        <f>'Losses and LAE'!G14/Premiums!G14</f>
        <v>0.40049021188763828</v>
      </c>
      <c r="H14" s="6">
        <f>'Losses and LAE'!H14/Premiums!H14</f>
        <v>0.67409378295760547</v>
      </c>
      <c r="I14" s="6">
        <f>'Losses and LAE'!I14/Premiums!I14</f>
        <v>0.67335384879319771</v>
      </c>
    </row>
    <row r="15" spans="1:9" x14ac:dyDescent="0.4">
      <c r="A15" t="s">
        <v>25</v>
      </c>
      <c r="B15">
        <v>1</v>
      </c>
      <c r="C15">
        <v>1</v>
      </c>
      <c r="D15" s="6">
        <f>'Losses and LAE'!D15/Premiums!D15</f>
        <v>0.66374498741661858</v>
      </c>
      <c r="E15" s="6">
        <f>'Losses and LAE'!E15/Premiums!E15</f>
        <v>0.67422866261151881</v>
      </c>
      <c r="F15" s="6">
        <f>'Losses and LAE'!F15/Premiums!F15</f>
        <v>0.67037857869495709</v>
      </c>
      <c r="G15" s="6">
        <f>'Losses and LAE'!G15/Premiums!G15</f>
        <v>0.67635492421364107</v>
      </c>
      <c r="H15" s="6">
        <f>'Losses and LAE'!H15/Premiums!H15</f>
        <v>0.66680478954845412</v>
      </c>
      <c r="I15" s="6">
        <f>'Losses and LAE'!I15/Premiums!I15</f>
        <v>0.6682123801403882</v>
      </c>
    </row>
    <row r="16" spans="1:9" x14ac:dyDescent="0.4">
      <c r="A16" t="s">
        <v>25</v>
      </c>
      <c r="B16">
        <v>1</v>
      </c>
      <c r="C16">
        <v>2</v>
      </c>
      <c r="D16" s="6">
        <f>'Losses and LAE'!D16/Premiums!D16</f>
        <v>0.5363077121293961</v>
      </c>
      <c r="E16" s="6">
        <f>'Losses and LAE'!E16/Premiums!E16</f>
        <v>0.68311179212556383</v>
      </c>
      <c r="F16" s="6">
        <f>'Losses and LAE'!F16/Premiums!F16</f>
        <v>0.67447817593156101</v>
      </c>
      <c r="G16" s="6">
        <f>'Losses and LAE'!G16/Premiums!G16</f>
        <v>0.68161338424909335</v>
      </c>
      <c r="H16" s="6">
        <f>'Losses and LAE'!H16/Premiums!H16</f>
        <v>0.68376971596130498</v>
      </c>
      <c r="I16" s="6">
        <f>'Losses and LAE'!I16/Premiums!I16</f>
        <v>0.67315542996276645</v>
      </c>
    </row>
    <row r="17" spans="1:9" x14ac:dyDescent="0.4">
      <c r="A17" t="s">
        <v>25</v>
      </c>
      <c r="B17">
        <v>1</v>
      </c>
      <c r="C17">
        <v>3</v>
      </c>
      <c r="D17" s="6">
        <f>'Losses and LAE'!D17/Premiums!D17</f>
        <v>0.52549748403311602</v>
      </c>
      <c r="E17" s="6">
        <f>'Losses and LAE'!E17/Premiums!E17</f>
        <v>0.67881308959264386</v>
      </c>
      <c r="F17" s="6">
        <f>'Losses and LAE'!F17/Premiums!F17</f>
        <v>0.66594665984240975</v>
      </c>
      <c r="G17" s="6">
        <f>'Losses and LAE'!G17/Premiums!G17</f>
        <v>0.6677387352790578</v>
      </c>
      <c r="H17" s="6">
        <f>'Losses and LAE'!H17/Premiums!H17</f>
        <v>0.67009915992123081</v>
      </c>
      <c r="I17" s="6">
        <f>'Losses and LAE'!I17/Premiums!I17</f>
        <v>0.65516505900106115</v>
      </c>
    </row>
    <row r="18" spans="1:9" x14ac:dyDescent="0.4">
      <c r="A18" t="s">
        <v>25</v>
      </c>
      <c r="B18">
        <v>2</v>
      </c>
      <c r="C18">
        <v>1</v>
      </c>
      <c r="D18" s="6">
        <f>'Losses and LAE'!D18/Premiums!D18</f>
        <v>0.65856757135856225</v>
      </c>
      <c r="E18" s="6">
        <f>'Losses and LAE'!E18/Premiums!E18</f>
        <v>0.66422310248658079</v>
      </c>
      <c r="F18" s="6">
        <f>'Losses and LAE'!F18/Premiums!F18</f>
        <v>0.56511576119689921</v>
      </c>
      <c r="G18" s="6">
        <f>'Losses and LAE'!G18/Premiums!G18</f>
        <v>0.56207270552281474</v>
      </c>
      <c r="H18" s="6">
        <f>'Losses and LAE'!H18/Premiums!H18</f>
        <v>0.68460016734114715</v>
      </c>
      <c r="I18" s="6">
        <f>'Losses and LAE'!I18/Premiums!I18</f>
        <v>0.66522603325636775</v>
      </c>
    </row>
    <row r="19" spans="1:9" x14ac:dyDescent="0.4">
      <c r="A19" t="s">
        <v>25</v>
      </c>
      <c r="B19">
        <v>2</v>
      </c>
      <c r="C19">
        <v>2</v>
      </c>
      <c r="D19" s="6">
        <f>'Losses and LAE'!D19/Premiums!D19</f>
        <v>0.53969051118448652</v>
      </c>
      <c r="E19" s="6">
        <f>'Losses and LAE'!E19/Premiums!E19</f>
        <v>0.66429600648939191</v>
      </c>
      <c r="F19" s="6">
        <f>'Losses and LAE'!F19/Premiums!F19</f>
        <v>0.58137514618570174</v>
      </c>
      <c r="G19" s="6">
        <f>'Losses and LAE'!G19/Premiums!G19</f>
        <v>0.5695636189158706</v>
      </c>
      <c r="H19" s="6">
        <f>'Losses and LAE'!H19/Premiums!H19</f>
        <v>0.65718165340845114</v>
      </c>
      <c r="I19" s="6">
        <f>'Losses and LAE'!I19/Premiums!I19</f>
        <v>0.67940332651692059</v>
      </c>
    </row>
    <row r="20" spans="1:9" x14ac:dyDescent="0.4">
      <c r="A20" t="s">
        <v>25</v>
      </c>
      <c r="B20">
        <v>2</v>
      </c>
      <c r="C20">
        <v>3</v>
      </c>
      <c r="D20" s="6">
        <f>'Losses and LAE'!D20/Premiums!D20</f>
        <v>0.53014790839035753</v>
      </c>
      <c r="E20" s="6">
        <f>'Losses and LAE'!E20/Premiums!E20</f>
        <v>0.65666726537312625</v>
      </c>
      <c r="F20" s="6">
        <f>'Losses and LAE'!F20/Premiums!F20</f>
        <v>0.57749124087721526</v>
      </c>
      <c r="G20" s="6">
        <f>'Losses and LAE'!G20/Premiums!G20</f>
        <v>0.5819092910235184</v>
      </c>
      <c r="H20" s="6">
        <f>'Losses and LAE'!H20/Premiums!H20</f>
        <v>0.66443295327234864</v>
      </c>
      <c r="I20" s="6">
        <f>'Losses and LAE'!I20/Premiums!I20</f>
        <v>0.66566997600162048</v>
      </c>
    </row>
    <row r="21" spans="1:9" x14ac:dyDescent="0.4">
      <c r="A21" t="s">
        <v>25</v>
      </c>
      <c r="B21">
        <v>3</v>
      </c>
      <c r="C21">
        <v>1</v>
      </c>
      <c r="D21" s="6">
        <f>'Losses and LAE'!D21/Premiums!D21</f>
        <v>0.68066320881750209</v>
      </c>
      <c r="E21" s="6">
        <f>'Losses and LAE'!E21/Premiums!E21</f>
        <v>0.65630841443179966</v>
      </c>
      <c r="F21" s="6">
        <f>'Losses and LAE'!F21/Premiums!F21</f>
        <v>0.46166986483775418</v>
      </c>
      <c r="G21" s="6">
        <f>'Losses and LAE'!G21/Premiums!G21</f>
        <v>0.46667318720005424</v>
      </c>
      <c r="H21" s="6">
        <f>'Losses and LAE'!H21/Premiums!H21</f>
        <v>0.67989064721682146</v>
      </c>
      <c r="I21" s="6">
        <f>'Losses and LAE'!I21/Premiums!I21</f>
        <v>0.67113482522457779</v>
      </c>
    </row>
    <row r="22" spans="1:9" x14ac:dyDescent="0.4">
      <c r="A22" t="s">
        <v>25</v>
      </c>
      <c r="B22">
        <v>3</v>
      </c>
      <c r="C22">
        <v>2</v>
      </c>
      <c r="D22" s="6">
        <f>'Losses and LAE'!D22/Premiums!D22</f>
        <v>0.5312177038979522</v>
      </c>
      <c r="E22" s="6">
        <f>'Losses and LAE'!E22/Premiums!E22</f>
        <v>0.66165425286753998</v>
      </c>
      <c r="F22" s="6">
        <f>'Losses and LAE'!F22/Premiums!F22</f>
        <v>0.46274241011535228</v>
      </c>
      <c r="G22" s="6">
        <f>'Losses and LAE'!G22/Premiums!G22</f>
        <v>0.46660587284981164</v>
      </c>
      <c r="H22" s="6">
        <f>'Losses and LAE'!H22/Premiums!H22</f>
        <v>0.65909017574805862</v>
      </c>
      <c r="I22" s="6">
        <f>'Losses and LAE'!I22/Premiums!I22</f>
        <v>0.68181239308855035</v>
      </c>
    </row>
    <row r="23" spans="1:9" x14ac:dyDescent="0.4">
      <c r="A23" t="s">
        <v>25</v>
      </c>
      <c r="B23">
        <v>3</v>
      </c>
      <c r="C23">
        <v>3</v>
      </c>
      <c r="D23" s="6">
        <f>'Losses and LAE'!D23/Premiums!D23</f>
        <v>0.54707568751492031</v>
      </c>
      <c r="E23" s="6">
        <f>'Losses and LAE'!E23/Premiums!E23</f>
        <v>0.66495955540568652</v>
      </c>
      <c r="F23" s="6">
        <f>'Losses and LAE'!F23/Premiums!F23</f>
        <v>0.46362280411004309</v>
      </c>
      <c r="G23" s="6">
        <f>'Losses and LAE'!G23/Premiums!G23</f>
        <v>0.45925028422586484</v>
      </c>
      <c r="H23" s="6">
        <f>'Losses and LAE'!H23/Premiums!H23</f>
        <v>0.65634437189801742</v>
      </c>
      <c r="I23" s="6">
        <f>'Losses and LAE'!I23/Premiums!I23</f>
        <v>0.67005424034149874</v>
      </c>
    </row>
    <row r="24" spans="1:9" x14ac:dyDescent="0.4">
      <c r="A24" t="s">
        <v>25</v>
      </c>
      <c r="B24">
        <v>4</v>
      </c>
      <c r="C24">
        <v>1</v>
      </c>
      <c r="D24" s="6">
        <f>'Losses and LAE'!D24/Premiums!D24</f>
        <v>0.67166505501862761</v>
      </c>
      <c r="E24" s="6">
        <f>'Losses and LAE'!E24/Premiums!E24</f>
        <v>0.66165038985499436</v>
      </c>
      <c r="F24" s="6">
        <f>'Losses and LAE'!F24/Premiums!F24</f>
        <v>0.40081552136798737</v>
      </c>
      <c r="G24" s="6">
        <f>'Losses and LAE'!G24/Premiums!G24</f>
        <v>0.4006142992549222</v>
      </c>
      <c r="H24" s="6">
        <f>'Losses and LAE'!H24/Premiums!H24</f>
        <v>0.67892175678469158</v>
      </c>
      <c r="I24" s="6">
        <f>'Losses and LAE'!I24/Premiums!I24</f>
        <v>0.65582371598449374</v>
      </c>
    </row>
    <row r="25" spans="1:9" x14ac:dyDescent="0.4">
      <c r="A25" t="s">
        <v>25</v>
      </c>
      <c r="B25">
        <v>4</v>
      </c>
      <c r="C25">
        <v>2</v>
      </c>
      <c r="D25" s="6">
        <f>'Losses and LAE'!D25/Premiums!D25</f>
        <v>0.54146823804333588</v>
      </c>
      <c r="E25" s="6">
        <f>'Losses and LAE'!E25/Premiums!E25</f>
        <v>0.66404248191742132</v>
      </c>
      <c r="F25" s="6">
        <f>'Losses and LAE'!F25/Premiums!F25</f>
        <v>0.39782643809905271</v>
      </c>
      <c r="G25" s="6">
        <f>'Losses and LAE'!G25/Premiums!G25</f>
        <v>0.40131383650273067</v>
      </c>
      <c r="H25" s="6">
        <f>'Losses and LAE'!H25/Premiums!H25</f>
        <v>0.6553933487916842</v>
      </c>
      <c r="I25" s="6">
        <f>'Losses and LAE'!I25/Premiums!I25</f>
        <v>0.6839393071858002</v>
      </c>
    </row>
    <row r="26" spans="1:9" x14ac:dyDescent="0.4">
      <c r="A26" t="s">
        <v>25</v>
      </c>
      <c r="B26">
        <v>4</v>
      </c>
      <c r="C26">
        <v>3</v>
      </c>
      <c r="D26" s="6">
        <f>'Losses and LAE'!D26/Premiums!D26</f>
        <v>0.5430878711490843</v>
      </c>
      <c r="E26" s="6">
        <f>'Losses and LAE'!E26/Premiums!E26</f>
        <v>0.68246096845709625</v>
      </c>
      <c r="F26" s="6">
        <f>'Losses and LAE'!F26/Premiums!F26</f>
        <v>0.39967647607789458</v>
      </c>
      <c r="G26" s="6">
        <f>'Losses and LAE'!G26/Premiums!G26</f>
        <v>0.39662971483230064</v>
      </c>
      <c r="H26" s="6">
        <f>'Losses and LAE'!H26/Premiums!H26</f>
        <v>0.67747651531272546</v>
      </c>
      <c r="I26" s="6">
        <f>'Losses and LAE'!I26/Premiums!I26</f>
        <v>0.66332483609604997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5F24-B0D9-4819-BBAD-2AAB9E711368}">
  <dimension ref="A1:I42"/>
  <sheetViews>
    <sheetView topLeftCell="A18" workbookViewId="0">
      <selection activeCell="E32" sqref="E32"/>
    </sheetView>
  </sheetViews>
  <sheetFormatPr defaultColWidth="8.765625" defaultRowHeight="14.6" x14ac:dyDescent="0.4"/>
  <cols>
    <col min="1" max="1" width="13.765625" customWidth="1"/>
    <col min="2" max="3" width="11" customWidth="1"/>
    <col min="4" max="4" width="13.69140625" customWidth="1"/>
    <col min="5" max="5" width="14.921875" bestFit="1" customWidth="1"/>
    <col min="6" max="9" width="13.69140625" customWidth="1"/>
  </cols>
  <sheetData>
    <row r="1" spans="1:9" x14ac:dyDescent="0.4">
      <c r="A1" t="s">
        <v>16</v>
      </c>
      <c r="D1" t="s">
        <v>17</v>
      </c>
    </row>
    <row r="2" spans="1:9" x14ac:dyDescent="0.4">
      <c r="A2" t="s">
        <v>0</v>
      </c>
      <c r="B2" t="s">
        <v>3</v>
      </c>
      <c r="C2" t="s">
        <v>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9" x14ac:dyDescent="0.4">
      <c r="A3" t="s">
        <v>24</v>
      </c>
      <c r="B3">
        <v>1</v>
      </c>
      <c r="C3">
        <v>1</v>
      </c>
      <c r="D3">
        <v>60</v>
      </c>
      <c r="E3">
        <v>72</v>
      </c>
      <c r="F3">
        <v>23</v>
      </c>
      <c r="G3">
        <v>18</v>
      </c>
      <c r="H3">
        <v>110</v>
      </c>
      <c r="I3">
        <v>1</v>
      </c>
    </row>
    <row r="4" spans="1:9" x14ac:dyDescent="0.4">
      <c r="A4" t="s">
        <v>24</v>
      </c>
      <c r="B4">
        <v>1</v>
      </c>
      <c r="C4">
        <v>2</v>
      </c>
      <c r="D4">
        <v>27</v>
      </c>
      <c r="E4">
        <v>37</v>
      </c>
      <c r="F4">
        <v>9</v>
      </c>
      <c r="G4">
        <v>9</v>
      </c>
      <c r="H4">
        <v>58</v>
      </c>
      <c r="I4">
        <v>1</v>
      </c>
    </row>
    <row r="5" spans="1:9" x14ac:dyDescent="0.4">
      <c r="A5" t="s">
        <v>24</v>
      </c>
      <c r="B5">
        <v>1</v>
      </c>
      <c r="C5">
        <v>3</v>
      </c>
      <c r="D5">
        <v>12</v>
      </c>
      <c r="E5">
        <v>9</v>
      </c>
      <c r="F5">
        <v>3</v>
      </c>
      <c r="G5">
        <v>6</v>
      </c>
      <c r="H5">
        <v>18</v>
      </c>
      <c r="I5">
        <v>1</v>
      </c>
    </row>
    <row r="6" spans="1:9" x14ac:dyDescent="0.4">
      <c r="A6" t="s">
        <v>24</v>
      </c>
      <c r="B6">
        <v>2</v>
      </c>
      <c r="C6">
        <v>1</v>
      </c>
      <c r="D6">
        <v>548</v>
      </c>
      <c r="E6">
        <v>186</v>
      </c>
      <c r="F6">
        <v>79</v>
      </c>
      <c r="G6">
        <v>72</v>
      </c>
      <c r="H6">
        <v>352</v>
      </c>
      <c r="I6">
        <v>4</v>
      </c>
    </row>
    <row r="7" spans="1:9" x14ac:dyDescent="0.4">
      <c r="A7" t="s">
        <v>24</v>
      </c>
      <c r="B7">
        <v>2</v>
      </c>
      <c r="C7">
        <v>2</v>
      </c>
      <c r="D7">
        <v>103</v>
      </c>
      <c r="E7">
        <v>87</v>
      </c>
      <c r="F7">
        <v>63</v>
      </c>
      <c r="G7">
        <v>27</v>
      </c>
      <c r="H7">
        <v>108</v>
      </c>
      <c r="I7">
        <v>2</v>
      </c>
    </row>
    <row r="8" spans="1:9" x14ac:dyDescent="0.4">
      <c r="A8" t="s">
        <v>24</v>
      </c>
      <c r="B8">
        <v>2</v>
      </c>
      <c r="C8">
        <v>3</v>
      </c>
      <c r="D8">
        <v>73</v>
      </c>
      <c r="E8">
        <v>20</v>
      </c>
      <c r="F8">
        <v>15</v>
      </c>
      <c r="G8">
        <v>8</v>
      </c>
      <c r="H8">
        <v>37</v>
      </c>
      <c r="I8">
        <v>1</v>
      </c>
    </row>
    <row r="9" spans="1:9" x14ac:dyDescent="0.4">
      <c r="A9" t="s">
        <v>24</v>
      </c>
      <c r="B9">
        <v>3</v>
      </c>
      <c r="C9">
        <v>1</v>
      </c>
      <c r="D9">
        <v>408</v>
      </c>
      <c r="E9">
        <v>92</v>
      </c>
      <c r="F9">
        <v>42</v>
      </c>
      <c r="G9">
        <v>29</v>
      </c>
      <c r="H9">
        <v>330</v>
      </c>
      <c r="I9">
        <v>7</v>
      </c>
    </row>
    <row r="10" spans="1:9" x14ac:dyDescent="0.4">
      <c r="A10" t="s">
        <v>24</v>
      </c>
      <c r="B10">
        <v>3</v>
      </c>
      <c r="C10">
        <v>2</v>
      </c>
      <c r="D10">
        <v>103</v>
      </c>
      <c r="E10">
        <v>75</v>
      </c>
      <c r="F10">
        <v>24</v>
      </c>
      <c r="G10">
        <v>41</v>
      </c>
      <c r="H10">
        <v>120</v>
      </c>
      <c r="I10">
        <v>3</v>
      </c>
    </row>
    <row r="11" spans="1:9" x14ac:dyDescent="0.4">
      <c r="A11" t="s">
        <v>24</v>
      </c>
      <c r="B11">
        <v>3</v>
      </c>
      <c r="C11">
        <v>3</v>
      </c>
      <c r="D11">
        <v>25</v>
      </c>
      <c r="E11">
        <v>23</v>
      </c>
      <c r="F11">
        <v>6</v>
      </c>
      <c r="G11">
        <v>8</v>
      </c>
      <c r="H11">
        <v>41</v>
      </c>
      <c r="I11">
        <v>1</v>
      </c>
    </row>
    <row r="12" spans="1:9" x14ac:dyDescent="0.4">
      <c r="A12" t="s">
        <v>24</v>
      </c>
      <c r="B12">
        <v>4</v>
      </c>
      <c r="C12">
        <v>1</v>
      </c>
      <c r="D12">
        <v>168</v>
      </c>
      <c r="E12">
        <v>83</v>
      </c>
      <c r="F12">
        <v>48</v>
      </c>
      <c r="G12">
        <v>17</v>
      </c>
      <c r="H12">
        <v>119</v>
      </c>
      <c r="I12">
        <v>3</v>
      </c>
    </row>
    <row r="13" spans="1:9" x14ac:dyDescent="0.4">
      <c r="A13" t="s">
        <v>24</v>
      </c>
      <c r="B13">
        <v>4</v>
      </c>
      <c r="C13">
        <v>2</v>
      </c>
      <c r="D13">
        <v>72</v>
      </c>
      <c r="E13">
        <v>20</v>
      </c>
      <c r="F13">
        <v>10</v>
      </c>
      <c r="G13">
        <v>11</v>
      </c>
      <c r="H13">
        <v>84</v>
      </c>
      <c r="I13">
        <v>1</v>
      </c>
    </row>
    <row r="14" spans="1:9" x14ac:dyDescent="0.4">
      <c r="A14" t="s">
        <v>24</v>
      </c>
      <c r="B14">
        <v>4</v>
      </c>
      <c r="C14">
        <v>3</v>
      </c>
      <c r="D14">
        <v>18</v>
      </c>
      <c r="E14">
        <v>18</v>
      </c>
      <c r="F14">
        <v>5</v>
      </c>
      <c r="G14">
        <v>4</v>
      </c>
      <c r="H14">
        <v>19</v>
      </c>
      <c r="I14">
        <v>1</v>
      </c>
    </row>
    <row r="15" spans="1:9" x14ac:dyDescent="0.4">
      <c r="A15" t="s">
        <v>25</v>
      </c>
      <c r="B15">
        <v>1</v>
      </c>
      <c r="C15">
        <v>1</v>
      </c>
      <c r="D15">
        <v>380</v>
      </c>
      <c r="E15">
        <v>369</v>
      </c>
      <c r="F15">
        <v>69</v>
      </c>
      <c r="G15">
        <v>116</v>
      </c>
      <c r="H15">
        <v>249</v>
      </c>
      <c r="I15">
        <v>4</v>
      </c>
    </row>
    <row r="16" spans="1:9" x14ac:dyDescent="0.4">
      <c r="A16" t="s">
        <v>25</v>
      </c>
      <c r="B16">
        <v>1</v>
      </c>
      <c r="C16">
        <v>2</v>
      </c>
      <c r="D16">
        <v>142</v>
      </c>
      <c r="E16">
        <v>122</v>
      </c>
      <c r="F16">
        <v>36</v>
      </c>
      <c r="G16">
        <v>29</v>
      </c>
      <c r="H16">
        <v>140</v>
      </c>
      <c r="I16">
        <v>2</v>
      </c>
    </row>
    <row r="17" spans="1:9" x14ac:dyDescent="0.4">
      <c r="A17" t="s">
        <v>25</v>
      </c>
      <c r="B17">
        <v>1</v>
      </c>
      <c r="C17">
        <v>3</v>
      </c>
      <c r="D17">
        <v>31</v>
      </c>
      <c r="E17">
        <v>36</v>
      </c>
      <c r="F17">
        <v>19</v>
      </c>
      <c r="G17">
        <v>25</v>
      </c>
      <c r="H17">
        <v>39</v>
      </c>
      <c r="I17">
        <v>1</v>
      </c>
    </row>
    <row r="18" spans="1:9" x14ac:dyDescent="0.4">
      <c r="A18" t="s">
        <v>25</v>
      </c>
      <c r="B18">
        <v>2</v>
      </c>
      <c r="C18">
        <v>1</v>
      </c>
      <c r="D18">
        <v>1095</v>
      </c>
      <c r="E18">
        <v>813</v>
      </c>
      <c r="F18">
        <v>377</v>
      </c>
      <c r="G18">
        <v>301</v>
      </c>
      <c r="H18">
        <v>2336</v>
      </c>
      <c r="I18">
        <v>22</v>
      </c>
    </row>
    <row r="19" spans="1:9" x14ac:dyDescent="0.4">
      <c r="A19" t="s">
        <v>25</v>
      </c>
      <c r="B19">
        <v>2</v>
      </c>
      <c r="C19">
        <v>2</v>
      </c>
      <c r="D19">
        <v>314</v>
      </c>
      <c r="E19">
        <v>603</v>
      </c>
      <c r="F19">
        <v>256</v>
      </c>
      <c r="G19">
        <v>137</v>
      </c>
      <c r="H19">
        <v>784</v>
      </c>
      <c r="I19">
        <v>10</v>
      </c>
    </row>
    <row r="20" spans="1:9" x14ac:dyDescent="0.4">
      <c r="A20" t="s">
        <v>25</v>
      </c>
      <c r="B20">
        <v>2</v>
      </c>
      <c r="C20">
        <v>3</v>
      </c>
      <c r="D20">
        <v>205</v>
      </c>
      <c r="E20">
        <v>157</v>
      </c>
      <c r="F20">
        <v>35</v>
      </c>
      <c r="G20">
        <v>42</v>
      </c>
      <c r="H20">
        <v>174</v>
      </c>
      <c r="I20">
        <v>2</v>
      </c>
    </row>
    <row r="21" spans="1:9" x14ac:dyDescent="0.4">
      <c r="A21" t="s">
        <v>25</v>
      </c>
      <c r="B21">
        <v>3</v>
      </c>
      <c r="C21">
        <v>1</v>
      </c>
      <c r="D21">
        <v>874</v>
      </c>
      <c r="E21">
        <v>625</v>
      </c>
      <c r="F21">
        <v>203</v>
      </c>
      <c r="G21">
        <v>120</v>
      </c>
      <c r="H21">
        <v>823</v>
      </c>
      <c r="I21">
        <v>23</v>
      </c>
    </row>
    <row r="22" spans="1:9" x14ac:dyDescent="0.4">
      <c r="A22" t="s">
        <v>25</v>
      </c>
      <c r="B22">
        <v>3</v>
      </c>
      <c r="C22">
        <v>2</v>
      </c>
      <c r="D22">
        <v>242</v>
      </c>
      <c r="E22">
        <v>588</v>
      </c>
      <c r="F22">
        <v>67</v>
      </c>
      <c r="G22">
        <v>156</v>
      </c>
      <c r="H22">
        <v>457</v>
      </c>
      <c r="I22">
        <v>7</v>
      </c>
    </row>
    <row r="23" spans="1:9" x14ac:dyDescent="0.4">
      <c r="A23" t="s">
        <v>25</v>
      </c>
      <c r="B23">
        <v>3</v>
      </c>
      <c r="C23">
        <v>3</v>
      </c>
      <c r="D23">
        <v>222</v>
      </c>
      <c r="E23">
        <v>167</v>
      </c>
      <c r="F23">
        <v>20</v>
      </c>
      <c r="G23">
        <v>35</v>
      </c>
      <c r="H23">
        <v>121</v>
      </c>
      <c r="I23">
        <v>2</v>
      </c>
    </row>
    <row r="24" spans="1:9" x14ac:dyDescent="0.4">
      <c r="A24" t="s">
        <v>25</v>
      </c>
      <c r="B24">
        <v>4</v>
      </c>
      <c r="C24">
        <v>1</v>
      </c>
      <c r="D24">
        <v>821</v>
      </c>
      <c r="E24">
        <v>826</v>
      </c>
      <c r="F24">
        <v>70</v>
      </c>
      <c r="G24">
        <v>69</v>
      </c>
      <c r="H24">
        <v>1031</v>
      </c>
      <c r="I24">
        <v>17</v>
      </c>
    </row>
    <row r="25" spans="1:9" x14ac:dyDescent="0.4">
      <c r="A25" t="s">
        <v>25</v>
      </c>
      <c r="B25">
        <v>4</v>
      </c>
      <c r="C25">
        <v>2</v>
      </c>
      <c r="D25">
        <v>201</v>
      </c>
      <c r="E25">
        <v>479</v>
      </c>
      <c r="F25">
        <v>36</v>
      </c>
      <c r="G25">
        <v>37</v>
      </c>
      <c r="H25">
        <v>597</v>
      </c>
      <c r="I25">
        <v>5</v>
      </c>
    </row>
    <row r="26" spans="1:9" x14ac:dyDescent="0.4">
      <c r="A26" t="s">
        <v>25</v>
      </c>
      <c r="B26">
        <v>4</v>
      </c>
      <c r="C26">
        <v>3</v>
      </c>
      <c r="D26">
        <v>58</v>
      </c>
      <c r="E26">
        <v>59</v>
      </c>
      <c r="F26">
        <v>11</v>
      </c>
      <c r="G26">
        <v>27</v>
      </c>
      <c r="H26">
        <v>76</v>
      </c>
      <c r="I26">
        <v>1</v>
      </c>
    </row>
    <row r="28" spans="1:9" x14ac:dyDescent="0.4">
      <c r="A28" t="s">
        <v>44</v>
      </c>
    </row>
    <row r="30" spans="1:9" x14ac:dyDescent="0.4">
      <c r="A30" t="s">
        <v>45</v>
      </c>
      <c r="B30" t="s">
        <v>46</v>
      </c>
      <c r="C30" t="s">
        <v>47</v>
      </c>
      <c r="E30" t="s">
        <v>55</v>
      </c>
      <c r="F30" t="s">
        <v>56</v>
      </c>
    </row>
    <row r="31" spans="1:9" x14ac:dyDescent="0.4">
      <c r="A31" t="s">
        <v>19</v>
      </c>
      <c r="C31">
        <f>SUM(E3:E26)</f>
        <v>5566</v>
      </c>
    </row>
    <row r="32" spans="1:9" x14ac:dyDescent="0.4">
      <c r="B32" t="s">
        <v>24</v>
      </c>
      <c r="C32">
        <f>SUM(E3:E14)</f>
        <v>722</v>
      </c>
      <c r="E32">
        <f>SQRT(C32/1082)</f>
        <v>0.81687380274546073</v>
      </c>
    </row>
    <row r="33" spans="1:5" x14ac:dyDescent="0.4">
      <c r="B33" t="s">
        <v>25</v>
      </c>
      <c r="C33">
        <f>SUM(E15:E26)</f>
        <v>4844</v>
      </c>
    </row>
    <row r="34" spans="1:5" x14ac:dyDescent="0.4">
      <c r="A34" t="s">
        <v>18</v>
      </c>
      <c r="C34">
        <f>SUM(D3:D26)</f>
        <v>6202</v>
      </c>
    </row>
    <row r="35" spans="1:5" x14ac:dyDescent="0.4">
      <c r="B35" t="s">
        <v>48</v>
      </c>
      <c r="C35">
        <f>D3+D6+D9+D12+D15+D18+D21+D24</f>
        <v>4354</v>
      </c>
    </row>
    <row r="36" spans="1:5" x14ac:dyDescent="0.4">
      <c r="B36" t="s">
        <v>50</v>
      </c>
      <c r="C36">
        <f>D4+D7+D10+D13+D16+D19+D22+D25</f>
        <v>1204</v>
      </c>
    </row>
    <row r="37" spans="1:5" x14ac:dyDescent="0.4">
      <c r="B37" t="s">
        <v>49</v>
      </c>
      <c r="C37">
        <f>D5+D8+D11+D14+D17+D20+D23+D26</f>
        <v>644</v>
      </c>
      <c r="E37">
        <f t="shared" ref="E37:E42" si="0">SQRT(C37/1082)</f>
        <v>0.77148822740708523</v>
      </c>
    </row>
    <row r="38" spans="1:5" x14ac:dyDescent="0.4">
      <c r="A38" t="s">
        <v>21</v>
      </c>
      <c r="C38">
        <f>SUM(G3:G26)</f>
        <v>1344</v>
      </c>
    </row>
    <row r="39" spans="1:5" x14ac:dyDescent="0.4">
      <c r="B39" t="s">
        <v>51</v>
      </c>
      <c r="C39">
        <f>SUM(G3:G5)+SUM(G15:G17)</f>
        <v>203</v>
      </c>
      <c r="E39">
        <f t="shared" si="0"/>
        <v>0.43314608021107392</v>
      </c>
    </row>
    <row r="40" spans="1:5" x14ac:dyDescent="0.4">
      <c r="B40" t="s">
        <v>52</v>
      </c>
      <c r="C40">
        <f>SUM(G6:G8)+SUM(G18:G20)</f>
        <v>587</v>
      </c>
      <c r="E40">
        <f t="shared" si="0"/>
        <v>0.73655540403710718</v>
      </c>
    </row>
    <row r="41" spans="1:5" x14ac:dyDescent="0.4">
      <c r="B41" t="s">
        <v>53</v>
      </c>
      <c r="C41">
        <f>SUM(G9:G11)+SUM(G21:G23)</f>
        <v>389</v>
      </c>
      <c r="E41">
        <f t="shared" si="0"/>
        <v>0.5995993733342061</v>
      </c>
    </row>
    <row r="42" spans="1:5" x14ac:dyDescent="0.4">
      <c r="B42" t="s">
        <v>54</v>
      </c>
      <c r="C42">
        <f>SUM(G12:G14)+SUM(G24:G26)</f>
        <v>165</v>
      </c>
      <c r="E42">
        <f t="shared" si="0"/>
        <v>0.39050656707398823</v>
      </c>
    </row>
  </sheetData>
  <conditionalFormatting sqref="C31:C42">
    <cfRule type="cellIs" dxfId="3" priority="1" operator="lessThan">
      <formula>1082</formula>
    </cfRule>
    <cfRule type="cellIs" dxfId="2" priority="2" operator="greaterThan">
      <formula>1082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EEDC-80ED-455F-888D-956D1833310D}">
  <dimension ref="A1:H34"/>
  <sheetViews>
    <sheetView workbookViewId="0">
      <selection activeCell="B22" sqref="B22"/>
    </sheetView>
  </sheetViews>
  <sheetFormatPr defaultColWidth="8.765625" defaultRowHeight="14.6" x14ac:dyDescent="0.4"/>
  <cols>
    <col min="1" max="1" width="46.4609375" bestFit="1" customWidth="1"/>
    <col min="2" max="2" width="15" bestFit="1" customWidth="1"/>
    <col min="4" max="4" width="22.69140625" bestFit="1" customWidth="1"/>
    <col min="5" max="5" width="15" bestFit="1" customWidth="1"/>
    <col min="7" max="7" width="22.765625" bestFit="1" customWidth="1"/>
    <col min="8" max="8" width="15" bestFit="1" customWidth="1"/>
  </cols>
  <sheetData>
    <row r="1" spans="1:8" x14ac:dyDescent="0.4">
      <c r="A1" t="s">
        <v>26</v>
      </c>
    </row>
    <row r="3" spans="1:8" x14ac:dyDescent="0.4">
      <c r="A3" t="s">
        <v>0</v>
      </c>
      <c r="B3" t="s">
        <v>27</v>
      </c>
      <c r="D3" t="s">
        <v>3</v>
      </c>
      <c r="E3" t="s">
        <v>27</v>
      </c>
      <c r="G3" t="s">
        <v>8</v>
      </c>
      <c r="H3" t="s">
        <v>27</v>
      </c>
    </row>
    <row r="4" spans="1:8" x14ac:dyDescent="0.4">
      <c r="A4" t="s">
        <v>24</v>
      </c>
      <c r="B4">
        <v>0.85</v>
      </c>
      <c r="D4" t="s">
        <v>4</v>
      </c>
      <c r="E4">
        <v>1</v>
      </c>
      <c r="G4" t="s">
        <v>28</v>
      </c>
      <c r="H4">
        <v>1</v>
      </c>
    </row>
    <row r="5" spans="1:8" x14ac:dyDescent="0.4">
      <c r="A5" t="s">
        <v>25</v>
      </c>
      <c r="B5">
        <v>1</v>
      </c>
      <c r="D5" t="s">
        <v>29</v>
      </c>
      <c r="E5">
        <v>0.9</v>
      </c>
      <c r="G5" t="s">
        <v>10</v>
      </c>
      <c r="H5">
        <v>0.95</v>
      </c>
    </row>
    <row r="6" spans="1:8" x14ac:dyDescent="0.4">
      <c r="D6" t="s">
        <v>30</v>
      </c>
      <c r="E6">
        <v>0.85</v>
      </c>
      <c r="G6" t="s">
        <v>31</v>
      </c>
      <c r="H6">
        <v>0.9</v>
      </c>
    </row>
    <row r="7" spans="1:8" x14ac:dyDescent="0.4">
      <c r="D7" t="s">
        <v>32</v>
      </c>
      <c r="E7">
        <v>0.8</v>
      </c>
    </row>
    <row r="10" spans="1:8" x14ac:dyDescent="0.4">
      <c r="A10" t="s">
        <v>33</v>
      </c>
    </row>
    <row r="12" spans="1:8" x14ac:dyDescent="0.4">
      <c r="A12" t="s">
        <v>0</v>
      </c>
      <c r="B12" t="s">
        <v>27</v>
      </c>
      <c r="D12" t="s">
        <v>3</v>
      </c>
      <c r="E12" t="s">
        <v>27</v>
      </c>
      <c r="G12" t="s">
        <v>8</v>
      </c>
      <c r="H12" t="s">
        <v>27</v>
      </c>
    </row>
    <row r="13" spans="1:8" x14ac:dyDescent="0.4">
      <c r="A13" t="s">
        <v>24</v>
      </c>
      <c r="B13">
        <v>0.9</v>
      </c>
      <c r="D13" t="s">
        <v>4</v>
      </c>
      <c r="E13">
        <v>1</v>
      </c>
      <c r="G13" t="s">
        <v>28</v>
      </c>
      <c r="H13">
        <v>1</v>
      </c>
    </row>
    <row r="14" spans="1:8" x14ac:dyDescent="0.4">
      <c r="A14" t="s">
        <v>25</v>
      </c>
      <c r="B14">
        <v>1</v>
      </c>
      <c r="D14" t="s">
        <v>29</v>
      </c>
      <c r="E14">
        <v>0.8</v>
      </c>
      <c r="G14" t="s">
        <v>10</v>
      </c>
      <c r="H14">
        <v>0.85</v>
      </c>
    </row>
    <row r="15" spans="1:8" x14ac:dyDescent="0.4">
      <c r="D15" t="s">
        <v>30</v>
      </c>
      <c r="E15">
        <v>0.76</v>
      </c>
      <c r="G15" t="s">
        <v>31</v>
      </c>
      <c r="H15">
        <v>0.75</v>
      </c>
    </row>
    <row r="16" spans="1:8" x14ac:dyDescent="0.4">
      <c r="D16" t="s">
        <v>32</v>
      </c>
      <c r="E16">
        <v>0.65</v>
      </c>
    </row>
    <row r="19" spans="1:8" x14ac:dyDescent="0.4">
      <c r="A19" t="s">
        <v>34</v>
      </c>
    </row>
    <row r="21" spans="1:8" x14ac:dyDescent="0.4">
      <c r="A21" t="s">
        <v>0</v>
      </c>
      <c r="B21" t="s">
        <v>27</v>
      </c>
      <c r="D21" t="s">
        <v>3</v>
      </c>
      <c r="E21" t="s">
        <v>27</v>
      </c>
      <c r="G21" t="s">
        <v>8</v>
      </c>
      <c r="H21" t="s">
        <v>27</v>
      </c>
    </row>
    <row r="22" spans="1:8" x14ac:dyDescent="0.4">
      <c r="A22" t="s">
        <v>24</v>
      </c>
      <c r="B22">
        <v>0.7</v>
      </c>
      <c r="D22" t="s">
        <v>4</v>
      </c>
      <c r="E22">
        <v>1</v>
      </c>
      <c r="G22" t="s">
        <v>28</v>
      </c>
      <c r="H22">
        <v>1</v>
      </c>
    </row>
    <row r="23" spans="1:8" x14ac:dyDescent="0.4">
      <c r="A23" t="s">
        <v>25</v>
      </c>
      <c r="B23">
        <v>1</v>
      </c>
      <c r="D23" t="s">
        <v>29</v>
      </c>
      <c r="E23">
        <v>0.9</v>
      </c>
      <c r="G23" t="s">
        <v>10</v>
      </c>
      <c r="H23">
        <v>1</v>
      </c>
    </row>
    <row r="24" spans="1:8" x14ac:dyDescent="0.4">
      <c r="D24" t="s">
        <v>30</v>
      </c>
      <c r="E24">
        <v>0.85</v>
      </c>
      <c r="G24" t="s">
        <v>31</v>
      </c>
      <c r="H24">
        <v>1</v>
      </c>
    </row>
    <row r="25" spans="1:8" x14ac:dyDescent="0.4">
      <c r="D25" t="s">
        <v>32</v>
      </c>
      <c r="E25">
        <v>0.8</v>
      </c>
    </row>
    <row r="28" spans="1:8" x14ac:dyDescent="0.4">
      <c r="A28" t="s">
        <v>67</v>
      </c>
    </row>
    <row r="30" spans="1:8" x14ac:dyDescent="0.4">
      <c r="A30" t="s">
        <v>0</v>
      </c>
      <c r="B30" t="s">
        <v>27</v>
      </c>
      <c r="D30" t="s">
        <v>3</v>
      </c>
      <c r="E30" t="s">
        <v>27</v>
      </c>
      <c r="G30" t="s">
        <v>8</v>
      </c>
      <c r="H30" t="s">
        <v>27</v>
      </c>
    </row>
    <row r="31" spans="1:8" x14ac:dyDescent="0.4">
      <c r="A31" t="s">
        <v>24</v>
      </c>
      <c r="B31" s="8">
        <f>((0.35*B4)+(0.2*B13)+(0.1*B22))/0.65</f>
        <v>0.84230769230769231</v>
      </c>
      <c r="C31" s="8"/>
      <c r="D31" t="s">
        <v>4</v>
      </c>
      <c r="E31" s="8">
        <f t="shared" ref="E31:H31" si="0">((0.35*E4)+(0.2*E13)+(0.1*E22))/0.65</f>
        <v>1</v>
      </c>
      <c r="F31" s="8"/>
      <c r="G31" t="s">
        <v>28</v>
      </c>
      <c r="H31" s="8">
        <f t="shared" si="0"/>
        <v>1</v>
      </c>
    </row>
    <row r="32" spans="1:8" x14ac:dyDescent="0.4">
      <c r="A32" t="s">
        <v>25</v>
      </c>
      <c r="B32" s="8">
        <f t="shared" ref="B32:H32" si="1">((0.35*B5)+(0.2*B14)+(0.1*B23))/0.65</f>
        <v>1</v>
      </c>
      <c r="C32" s="8"/>
      <c r="D32" t="s">
        <v>29</v>
      </c>
      <c r="E32" s="8">
        <f t="shared" si="1"/>
        <v>0.86923076923076925</v>
      </c>
      <c r="F32" s="8"/>
      <c r="G32" t="s">
        <v>10</v>
      </c>
      <c r="H32" s="8">
        <f t="shared" si="1"/>
        <v>0.92692307692307674</v>
      </c>
    </row>
    <row r="33" spans="2:8" x14ac:dyDescent="0.4">
      <c r="B33" s="8"/>
      <c r="C33" s="8"/>
      <c r="D33" t="s">
        <v>30</v>
      </c>
      <c r="E33" s="8">
        <f t="shared" ref="E33:H33" si="2">((0.35*E6)+(0.2*E15)+(0.1*E24))/0.65</f>
        <v>0.8223076923076923</v>
      </c>
      <c r="F33" s="8"/>
      <c r="G33" t="s">
        <v>31</v>
      </c>
      <c r="H33" s="8">
        <f t="shared" si="2"/>
        <v>0.86923076923076925</v>
      </c>
    </row>
    <row r="34" spans="2:8" x14ac:dyDescent="0.4">
      <c r="B34" s="8"/>
      <c r="C34" s="8"/>
      <c r="D34" t="s">
        <v>32</v>
      </c>
      <c r="E34" s="8">
        <f t="shared" ref="E34" si="3">((0.35*E7)+(0.2*E16)+(0.1*E25))/0.65</f>
        <v>0.75384615384615383</v>
      </c>
      <c r="F34" s="8"/>
      <c r="G34" s="8"/>
      <c r="H34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E868-33F6-D44A-A0D4-B87058DB6AC9}">
  <dimension ref="A1:D5"/>
  <sheetViews>
    <sheetView workbookViewId="0">
      <selection activeCell="C6" sqref="C6"/>
    </sheetView>
  </sheetViews>
  <sheetFormatPr defaultColWidth="11.53515625" defaultRowHeight="14.6" x14ac:dyDescent="0.4"/>
  <cols>
    <col min="1" max="1" width="19.4609375" bestFit="1" customWidth="1"/>
    <col min="2" max="2" width="13.69140625" bestFit="1" customWidth="1"/>
    <col min="4" max="4" width="12.07421875" bestFit="1" customWidth="1"/>
  </cols>
  <sheetData>
    <row r="1" spans="1:4" x14ac:dyDescent="0.4">
      <c r="A1" t="s">
        <v>37</v>
      </c>
      <c r="B1" t="s">
        <v>35</v>
      </c>
      <c r="C1" t="s">
        <v>109</v>
      </c>
    </row>
    <row r="2" spans="1:4" x14ac:dyDescent="0.4">
      <c r="A2" t="s">
        <v>36</v>
      </c>
      <c r="B2" s="2">
        <v>35886895.333333336</v>
      </c>
      <c r="C2" t="s">
        <v>111</v>
      </c>
      <c r="D2" s="3"/>
    </row>
    <row r="3" spans="1:4" x14ac:dyDescent="0.4">
      <c r="A3" t="s">
        <v>38</v>
      </c>
      <c r="B3" s="3">
        <v>29196192.666666668</v>
      </c>
      <c r="C3" t="s">
        <v>110</v>
      </c>
      <c r="D3" s="3"/>
    </row>
    <row r="4" spans="1:4" x14ac:dyDescent="0.4">
      <c r="A4" t="s">
        <v>39</v>
      </c>
      <c r="B4" s="3">
        <v>21917116.666666668</v>
      </c>
      <c r="C4" t="s">
        <v>111</v>
      </c>
      <c r="D4" s="3"/>
    </row>
    <row r="5" spans="1:4" x14ac:dyDescent="0.4">
      <c r="A5" t="s">
        <v>40</v>
      </c>
      <c r="B5" s="3">
        <v>6998478.666666667</v>
      </c>
      <c r="C5" t="s">
        <v>110</v>
      </c>
      <c r="D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5A40-73FF-4626-96E2-080D84B10706}">
  <dimension ref="A1:P47"/>
  <sheetViews>
    <sheetView zoomScale="80" workbookViewId="0">
      <selection activeCell="A2" sqref="A2:A15"/>
    </sheetView>
  </sheetViews>
  <sheetFormatPr defaultRowHeight="14.6" x14ac:dyDescent="0.4"/>
  <cols>
    <col min="1" max="1" width="37.4609375" bestFit="1" customWidth="1"/>
    <col min="2" max="2" width="14.3828125" bestFit="1" customWidth="1"/>
    <col min="3" max="3" width="15.15234375" bestFit="1" customWidth="1"/>
    <col min="5" max="5" width="16.69140625" bestFit="1" customWidth="1"/>
    <col min="6" max="6" width="14.765625" customWidth="1"/>
    <col min="8" max="8" width="16.3046875" bestFit="1" customWidth="1"/>
    <col min="9" max="9" width="16.3046875" customWidth="1"/>
    <col min="10" max="10" width="12.4609375" bestFit="1" customWidth="1"/>
    <col min="12" max="12" width="17.07421875" bestFit="1" customWidth="1"/>
    <col min="15" max="15" width="12.4609375" bestFit="1" customWidth="1"/>
  </cols>
  <sheetData>
    <row r="1" spans="1:16" x14ac:dyDescent="0.4">
      <c r="B1" s="4" t="s">
        <v>41</v>
      </c>
      <c r="C1" t="s">
        <v>42</v>
      </c>
      <c r="D1" t="s">
        <v>43</v>
      </c>
      <c r="E1" t="s">
        <v>57</v>
      </c>
      <c r="F1" t="s">
        <v>55</v>
      </c>
      <c r="H1" t="s">
        <v>58</v>
      </c>
      <c r="I1" t="s">
        <v>61</v>
      </c>
      <c r="J1" t="s">
        <v>59</v>
      </c>
      <c r="L1" s="7" t="s">
        <v>60</v>
      </c>
      <c r="M1" t="s">
        <v>104</v>
      </c>
      <c r="O1" s="7" t="s">
        <v>112</v>
      </c>
      <c r="P1" t="s">
        <v>113</v>
      </c>
    </row>
    <row r="2" spans="1:16" x14ac:dyDescent="0.4">
      <c r="A2" s="7" t="s">
        <v>0</v>
      </c>
      <c r="B2" s="4"/>
      <c r="O2" s="7"/>
    </row>
    <row r="3" spans="1:16" x14ac:dyDescent="0.4">
      <c r="A3" t="s">
        <v>24</v>
      </c>
      <c r="B3" s="4">
        <f>SUM(Premiums!E3:E14)</f>
        <v>18668679</v>
      </c>
      <c r="C3" s="2">
        <f>SUM('Losses and LAE'!E3:E14)</f>
        <v>7216384</v>
      </c>
      <c r="D3">
        <f>C3/B3</f>
        <v>0.38655032849405147</v>
      </c>
      <c r="E3">
        <f>'Claim&amp;Credibility'!C32</f>
        <v>722</v>
      </c>
      <c r="F3" s="8">
        <f>'Claim&amp;Credibility'!E32</f>
        <v>0.81687380274546073</v>
      </c>
      <c r="H3" s="8">
        <f>D3/D4</f>
        <v>0.58245815578263271</v>
      </c>
      <c r="I3" s="8">
        <f>'Competitor Information'!B31</f>
        <v>0.84230769230769231</v>
      </c>
      <c r="J3" s="8">
        <f>(F3*H3)+(1-F3)*(I3)</f>
        <v>0.63004341326482138</v>
      </c>
      <c r="L3" s="10">
        <f>1-J3</f>
        <v>0.36995658673517862</v>
      </c>
      <c r="M3" s="8">
        <f>1-L3</f>
        <v>0.63004341326482138</v>
      </c>
      <c r="O3" s="7">
        <v>0.3</v>
      </c>
      <c r="P3">
        <f>1-O3</f>
        <v>0.7</v>
      </c>
    </row>
    <row r="4" spans="1:16" x14ac:dyDescent="0.4">
      <c r="A4" t="s">
        <v>63</v>
      </c>
      <c r="B4" s="4">
        <f>SUM(Premiums!E15:E26)</f>
        <v>74628568</v>
      </c>
      <c r="C4" s="5">
        <f>SUM('Losses and LAE'!E15:E26)</f>
        <v>49527502</v>
      </c>
      <c r="D4">
        <f>C4/B4</f>
        <v>0.66365338806983409</v>
      </c>
      <c r="E4">
        <f>'Claim&amp;Credibility'!C33</f>
        <v>4844</v>
      </c>
      <c r="F4" s="9"/>
      <c r="M4" s="8"/>
      <c r="O4" s="7"/>
    </row>
    <row r="5" spans="1:16" ht="16.3" customHeight="1" x14ac:dyDescent="0.4">
      <c r="M5" s="8"/>
      <c r="O5" s="7"/>
    </row>
    <row r="6" spans="1:16" x14ac:dyDescent="0.4">
      <c r="A6" s="7" t="s">
        <v>3</v>
      </c>
      <c r="M6" s="8"/>
      <c r="O6" s="7"/>
    </row>
    <row r="7" spans="1:16" x14ac:dyDescent="0.4">
      <c r="A7" t="s">
        <v>64</v>
      </c>
      <c r="B7" s="1">
        <f>SUM(Premiums!G3:G5)+SUM(Premiums!G15:G17)</f>
        <v>2334944</v>
      </c>
      <c r="C7" s="1">
        <f>SUM('Losses and LAE'!G3:G5)+SUM('Losses and LAE'!G15:G17)</f>
        <v>1573992</v>
      </c>
      <c r="D7">
        <f>C7/B7</f>
        <v>0.67410267655241407</v>
      </c>
      <c r="E7">
        <f>'Claim&amp;Credibility'!C39</f>
        <v>203</v>
      </c>
      <c r="F7">
        <f>'Claim&amp;Credibility'!E39</f>
        <v>0.43314608021107392</v>
      </c>
      <c r="M7" s="8"/>
      <c r="O7" s="7"/>
    </row>
    <row r="8" spans="1:16" x14ac:dyDescent="0.4">
      <c r="A8" t="s">
        <v>5</v>
      </c>
      <c r="B8" s="1">
        <f>SUM(Premiums!G6:G8)+SUM(Premiums!G18:G20)</f>
        <v>9326324</v>
      </c>
      <c r="C8" s="1">
        <f>SUM('Losses and LAE'!G6:G8)+SUM('Losses and LAE'!G18:G20)</f>
        <v>5294912</v>
      </c>
      <c r="D8">
        <f t="shared" ref="D8:D10" si="0">C8/B8</f>
        <v>0.56773837151700923</v>
      </c>
      <c r="E8">
        <f>'Claim&amp;Credibility'!C40</f>
        <v>587</v>
      </c>
      <c r="F8">
        <f>'Claim&amp;Credibility'!E40</f>
        <v>0.73655540403710718</v>
      </c>
      <c r="H8">
        <f>D8/D7</f>
        <v>0.84221349545830704</v>
      </c>
      <c r="I8" s="8">
        <f>'Competitor Information'!E32</f>
        <v>0.86923076923076925</v>
      </c>
      <c r="J8">
        <f>(H8*F8)+(1-F8)*(I8)</f>
        <v>0.84933105023131217</v>
      </c>
      <c r="L8" s="7">
        <f>1-J8</f>
        <v>0.15066894976868783</v>
      </c>
      <c r="M8" s="8">
        <f t="shared" ref="M8:M15" si="1">1-L8</f>
        <v>0.84933105023131217</v>
      </c>
      <c r="O8" s="7">
        <v>0.15</v>
      </c>
      <c r="P8">
        <f t="shared" ref="P8:P15" si="2">1-O8</f>
        <v>0.85</v>
      </c>
    </row>
    <row r="9" spans="1:16" x14ac:dyDescent="0.4">
      <c r="A9" t="s">
        <v>6</v>
      </c>
      <c r="B9" s="1">
        <f>SUM(Premiums!G21:G23)+SUM(Premiums!G9:G11)</f>
        <v>6997825</v>
      </c>
      <c r="C9" s="1">
        <f>SUM('Losses and LAE'!G9:G11)+SUM('Losses and LAE'!G21:G23)</f>
        <v>3265800</v>
      </c>
      <c r="D9">
        <f t="shared" si="0"/>
        <v>0.46668786372908727</v>
      </c>
      <c r="E9">
        <f>'Claim&amp;Credibility'!C41</f>
        <v>389</v>
      </c>
      <c r="F9">
        <f>'Claim&amp;Credibility'!E41</f>
        <v>0.5995993733342061</v>
      </c>
      <c r="H9">
        <f>D9/D7</f>
        <v>0.69230976223961116</v>
      </c>
      <c r="I9" s="8">
        <f>'Competitor Information'!E33</f>
        <v>0.8223076923076923</v>
      </c>
      <c r="J9">
        <f t="shared" ref="J9:J10" si="3">(H9*F9)+(1-F9)*(I9)</f>
        <v>0.74436101490412687</v>
      </c>
      <c r="L9" s="7">
        <f t="shared" ref="L9:L10" si="4">1-J9</f>
        <v>0.25563898509587313</v>
      </c>
      <c r="M9" s="8">
        <f t="shared" si="1"/>
        <v>0.74436101490412687</v>
      </c>
      <c r="O9" s="7">
        <v>0.25</v>
      </c>
      <c r="P9">
        <f t="shared" si="2"/>
        <v>0.75</v>
      </c>
    </row>
    <row r="10" spans="1:16" x14ac:dyDescent="0.4">
      <c r="A10" t="s">
        <v>7</v>
      </c>
      <c r="B10" s="1">
        <f>SUM(Premiums!G12:G14)+SUM(Premiums!G24:G26)</f>
        <v>4674446</v>
      </c>
      <c r="C10" s="1">
        <f>SUM('Losses and LAE'!G12:G14)+SUM('Losses and LAE'!G24:G26)</f>
        <v>1875366</v>
      </c>
      <c r="D10">
        <f t="shared" si="0"/>
        <v>0.40119535020834557</v>
      </c>
      <c r="E10">
        <f>'Claim&amp;Credibility'!C42</f>
        <v>165</v>
      </c>
      <c r="F10">
        <f>'Claim&amp;Credibility'!E42</f>
        <v>0.39050656707398823</v>
      </c>
      <c r="H10">
        <f>D10/D7</f>
        <v>0.59515466139400663</v>
      </c>
      <c r="I10" s="8">
        <f>'Competitor Information'!E34</f>
        <v>0.75384615384615383</v>
      </c>
      <c r="J10">
        <f t="shared" si="3"/>
        <v>0.69187608390481814</v>
      </c>
      <c r="L10" s="7">
        <f t="shared" si="4"/>
        <v>0.30812391609518186</v>
      </c>
      <c r="M10" s="8">
        <f t="shared" si="1"/>
        <v>0.69187608390481814</v>
      </c>
      <c r="O10" s="7">
        <v>0.3</v>
      </c>
      <c r="P10">
        <f t="shared" si="2"/>
        <v>0.7</v>
      </c>
    </row>
    <row r="11" spans="1:16" x14ac:dyDescent="0.4">
      <c r="M11" s="8"/>
      <c r="O11" s="7"/>
    </row>
    <row r="12" spans="1:16" x14ac:dyDescent="0.4">
      <c r="A12" s="7" t="s">
        <v>62</v>
      </c>
      <c r="M12" s="8"/>
      <c r="O12" s="7"/>
    </row>
    <row r="13" spans="1:16" x14ac:dyDescent="0.4">
      <c r="A13" t="s">
        <v>65</v>
      </c>
      <c r="B13" s="1">
        <f>SUM(Premiums!D3,Premiums!D6,Premiums!D9,Premiums!D12,Premiums!D15,Premiums!D18,Premiums!D21,Premiums!D24)</f>
        <v>125958104</v>
      </c>
      <c r="C13" s="1">
        <f>SUM('Losses and LAE'!D3,'Losses and LAE'!D6,'Losses and LAE'!D9,'Losses and LAE'!D12,'Losses and LAE'!D15,'Losses and LAE'!D18,'Losses and LAE'!D21,'Losses and LAE'!D24,)</f>
        <v>84085527</v>
      </c>
      <c r="D13">
        <f>C13/B13</f>
        <v>0.66756742384753587</v>
      </c>
      <c r="E13">
        <f>'Claim&amp;Credibility'!C35</f>
        <v>4354</v>
      </c>
      <c r="M13" s="8"/>
      <c r="O13" s="7"/>
    </row>
    <row r="14" spans="1:16" x14ac:dyDescent="0.4">
      <c r="A14" t="s">
        <v>10</v>
      </c>
      <c r="B14" s="1">
        <f>SUM(Premiums!D4,Premiums!D7,Premiums!D10,Premiums!D13,Premiums!D16,Premiums!D19,Premiums!D22,Premiums!D25)</f>
        <v>62904433</v>
      </c>
      <c r="C14" s="11">
        <f>SUM('Losses and LAE'!D4,'Losses and LAE'!D7,'Losses and LAE'!D10,'Losses and LAE'!D13,'Losses and LAE'!D16,'Losses and LAE'!D19,'Losses and LAE'!D22,'Losses and LAE'!D25)</f>
        <v>33757546</v>
      </c>
      <c r="D14">
        <f t="shared" ref="D14:D15" si="5">C14/B14</f>
        <v>0.53664812462422162</v>
      </c>
      <c r="E14">
        <f>'Claim&amp;Credibility'!C36</f>
        <v>1204</v>
      </c>
      <c r="H14">
        <f>D14/D13</f>
        <v>0.80388602776816354</v>
      </c>
      <c r="I14" t="s">
        <v>66</v>
      </c>
      <c r="J14">
        <f>H14</f>
        <v>0.80388602776816354</v>
      </c>
      <c r="L14" s="7">
        <f>1-J14</f>
        <v>0.19611397223183646</v>
      </c>
      <c r="M14" s="8">
        <f t="shared" si="1"/>
        <v>0.80388602776816354</v>
      </c>
      <c r="O14" s="7">
        <v>0.2</v>
      </c>
      <c r="P14">
        <f t="shared" si="2"/>
        <v>0.8</v>
      </c>
    </row>
    <row r="15" spans="1:16" x14ac:dyDescent="0.4">
      <c r="A15" t="s">
        <v>11</v>
      </c>
      <c r="B15" s="1">
        <f>SUM(Premiums!D5,Premiums!D8,Premiums!D11,Premiums!D14,Premiums!D17,Premiums!D20,Premiums!D23,Premiums!D26)</f>
        <v>20990045</v>
      </c>
      <c r="C15" s="1">
        <f>SUM('Losses and LAE'!D5,'Losses and LAE'!D8,'Losses and LAE'!D11,'Losses and LAE'!D14,'Losses and LAE'!D17,'Losses and LAE'!D20,'Losses and LAE'!D23,'Losses and LAE'!D26)</f>
        <v>11250721</v>
      </c>
      <c r="D15">
        <f t="shared" si="5"/>
        <v>0.53600270985602938</v>
      </c>
      <c r="E15">
        <f>'Claim&amp;Credibility'!C37</f>
        <v>644</v>
      </c>
      <c r="F15">
        <f>'Claim&amp;Credibility'!E37</f>
        <v>0.77148822740708523</v>
      </c>
      <c r="H15">
        <f>D15/D13</f>
        <v>0.8029192119153582</v>
      </c>
      <c r="I15" s="7">
        <v>1</v>
      </c>
      <c r="J15">
        <f>(F15*H15)+(1-F15)*(I15)</f>
        <v>0.84795449214458829</v>
      </c>
      <c r="L15" s="7">
        <f>1-J15</f>
        <v>0.15204550785541171</v>
      </c>
      <c r="M15" s="8">
        <f t="shared" si="1"/>
        <v>0.84795449214458829</v>
      </c>
      <c r="O15" s="7">
        <v>0.15</v>
      </c>
      <c r="P15">
        <f t="shared" si="2"/>
        <v>0.85</v>
      </c>
    </row>
    <row r="19" spans="1:8" x14ac:dyDescent="0.4">
      <c r="A19" s="12" t="s">
        <v>68</v>
      </c>
      <c r="H19" s="12" t="s">
        <v>12</v>
      </c>
    </row>
    <row r="21" spans="1:8" x14ac:dyDescent="0.4">
      <c r="A21" s="7" t="s">
        <v>71</v>
      </c>
      <c r="H21" s="7" t="s">
        <v>71</v>
      </c>
    </row>
    <row r="22" spans="1:8" x14ac:dyDescent="0.4">
      <c r="A22" t="s">
        <v>69</v>
      </c>
      <c r="C22" t="s">
        <v>72</v>
      </c>
      <c r="H22" t="s">
        <v>85</v>
      </c>
    </row>
    <row r="23" spans="1:8" x14ac:dyDescent="0.4">
      <c r="A23" t="s">
        <v>70</v>
      </c>
      <c r="C23" t="s">
        <v>73</v>
      </c>
      <c r="H23" t="s">
        <v>86</v>
      </c>
    </row>
    <row r="24" spans="1:8" x14ac:dyDescent="0.4">
      <c r="C24" t="s">
        <v>74</v>
      </c>
    </row>
    <row r="25" spans="1:8" x14ac:dyDescent="0.4">
      <c r="C25" t="s">
        <v>75</v>
      </c>
    </row>
    <row r="26" spans="1:8" x14ac:dyDescent="0.4">
      <c r="H26" s="7" t="s">
        <v>87</v>
      </c>
    </row>
    <row r="27" spans="1:8" x14ac:dyDescent="0.4">
      <c r="A27" s="7" t="s">
        <v>76</v>
      </c>
      <c r="H27" t="s">
        <v>88</v>
      </c>
    </row>
    <row r="28" spans="1:8" x14ac:dyDescent="0.4">
      <c r="A28" t="s">
        <v>77</v>
      </c>
      <c r="H28" t="s">
        <v>89</v>
      </c>
    </row>
    <row r="33" spans="1:8" x14ac:dyDescent="0.4">
      <c r="A33" s="7" t="s">
        <v>78</v>
      </c>
      <c r="H33" s="7" t="s">
        <v>90</v>
      </c>
    </row>
    <row r="34" spans="1:8" x14ac:dyDescent="0.4">
      <c r="A34" t="s">
        <v>79</v>
      </c>
      <c r="H34" s="7"/>
    </row>
    <row r="35" spans="1:8" x14ac:dyDescent="0.4">
      <c r="A35" t="s">
        <v>80</v>
      </c>
      <c r="H35" t="s">
        <v>91</v>
      </c>
    </row>
    <row r="36" spans="1:8" x14ac:dyDescent="0.4">
      <c r="H36" t="s">
        <v>92</v>
      </c>
    </row>
    <row r="37" spans="1:8" x14ac:dyDescent="0.4">
      <c r="H37" t="s">
        <v>93</v>
      </c>
    </row>
    <row r="38" spans="1:8" x14ac:dyDescent="0.4">
      <c r="A38" t="s">
        <v>72</v>
      </c>
      <c r="H38" t="s">
        <v>94</v>
      </c>
    </row>
    <row r="39" spans="1:8" x14ac:dyDescent="0.4">
      <c r="A39" t="s">
        <v>81</v>
      </c>
    </row>
    <row r="40" spans="1:8" x14ac:dyDescent="0.4">
      <c r="A40" t="s">
        <v>82</v>
      </c>
      <c r="H40" t="s">
        <v>95</v>
      </c>
    </row>
    <row r="41" spans="1:8" x14ac:dyDescent="0.4">
      <c r="A41" t="s">
        <v>83</v>
      </c>
      <c r="H41" t="s">
        <v>96</v>
      </c>
    </row>
    <row r="42" spans="1:8" x14ac:dyDescent="0.4">
      <c r="A42" t="s">
        <v>84</v>
      </c>
      <c r="H42" t="s">
        <v>97</v>
      </c>
    </row>
    <row r="43" spans="1:8" x14ac:dyDescent="0.4">
      <c r="H43" t="s">
        <v>98</v>
      </c>
    </row>
    <row r="44" spans="1:8" x14ac:dyDescent="0.4">
      <c r="A44" s="7"/>
      <c r="H44" t="s">
        <v>102</v>
      </c>
    </row>
    <row r="45" spans="1:8" x14ac:dyDescent="0.4">
      <c r="H45" t="s">
        <v>101</v>
      </c>
    </row>
    <row r="46" spans="1:8" x14ac:dyDescent="0.4">
      <c r="H46" t="s">
        <v>99</v>
      </c>
    </row>
    <row r="47" spans="1:8" x14ac:dyDescent="0.4">
      <c r="H47" t="s">
        <v>100</v>
      </c>
    </row>
  </sheetData>
  <conditionalFormatting sqref="E3:E4 E7:E10 E13:E15">
    <cfRule type="cellIs" dxfId="1" priority="1" operator="lessThan">
      <formula>1082</formula>
    </cfRule>
    <cfRule type="cellIs" dxfId="0" priority="2" operator="greaterThan">
      <formula>1082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938A-E7C4-4D79-9839-9D1DE03ECDFA}">
  <dimension ref="A1:I66"/>
  <sheetViews>
    <sheetView tabSelected="1" topLeftCell="A8" workbookViewId="0">
      <selection activeCell="B47" sqref="B47"/>
    </sheetView>
  </sheetViews>
  <sheetFormatPr defaultRowHeight="14.6" x14ac:dyDescent="0.4"/>
  <cols>
    <col min="1" max="1" width="28.84375" customWidth="1"/>
    <col min="2" max="2" width="15" bestFit="1" customWidth="1"/>
    <col min="3" max="3" width="11.3046875" customWidth="1"/>
    <col min="4" max="5" width="12.3828125" bestFit="1" customWidth="1"/>
    <col min="6" max="9" width="11.3828125" bestFit="1" customWidth="1"/>
    <col min="10" max="10" width="18.15234375" bestFit="1" customWidth="1"/>
  </cols>
  <sheetData>
    <row r="1" spans="1:9" x14ac:dyDescent="0.4">
      <c r="A1" t="s">
        <v>103</v>
      </c>
    </row>
    <row r="3" spans="1:9" x14ac:dyDescent="0.4">
      <c r="A3" t="s">
        <v>105</v>
      </c>
    </row>
    <row r="4" spans="1:9" x14ac:dyDescent="0.4">
      <c r="A4" t="s">
        <v>16</v>
      </c>
      <c r="D4" t="s">
        <v>17</v>
      </c>
    </row>
    <row r="5" spans="1:9" x14ac:dyDescent="0.4">
      <c r="A5" t="s">
        <v>0</v>
      </c>
      <c r="B5" t="s">
        <v>3</v>
      </c>
      <c r="C5" t="s">
        <v>8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</row>
    <row r="6" spans="1:9" x14ac:dyDescent="0.4">
      <c r="A6" t="s">
        <v>24</v>
      </c>
      <c r="B6">
        <v>1</v>
      </c>
      <c r="C6">
        <v>1</v>
      </c>
      <c r="D6" s="1" cm="1">
        <f t="array" ref="D6">_xlfn.IFS(Premiums!C3=1,1,Premiums!C3=2, 'Discount Calculations'!$P$14,Premiums!C3=3,'Discount Calculations'!$P$15)*Premiums!D3</f>
        <v>2521391</v>
      </c>
      <c r="E6" s="1">
        <f>IF(Premiums!A3="Y",'Discount Calculations'!$P$3,1)*Premiums!E3</f>
        <v>783565.29999999993</v>
      </c>
      <c r="F6" s="1">
        <f>Premiums!F3</f>
        <v>836869</v>
      </c>
      <c r="G6" s="1" cm="1">
        <f t="array" ref="G6">_xlfn.IFS(Premiums!B3=1,1, Premiums!B3=2,'Discount Calculations'!$P$8,Premiums!B3=3,'Discount Calculations'!$P$9,Premiums!B3=4,'Discount Calculations'!$P$10)*Premiums!G3</f>
        <v>280509</v>
      </c>
      <c r="H6" s="1">
        <f>Premiums!H3</f>
        <v>562613</v>
      </c>
      <c r="I6" s="1">
        <f>Premiums!I3</f>
        <v>279939</v>
      </c>
    </row>
    <row r="7" spans="1:9" x14ac:dyDescent="0.4">
      <c r="A7" t="s">
        <v>24</v>
      </c>
      <c r="B7">
        <v>1</v>
      </c>
      <c r="C7">
        <v>2</v>
      </c>
      <c r="D7" s="1" cm="1">
        <f t="array" ref="D7">_xlfn.IFS(Premiums!C4=1,1,Premiums!C4=2, 'Discount Calculations'!$P$14,Premiums!C4=3,'Discount Calculations'!$P$15)*Premiums!D4</f>
        <v>1012032</v>
      </c>
      <c r="E7" s="1">
        <f>IF(Premiums!A4="Y",'Discount Calculations'!$P$3,1)*Premiums!E4</f>
        <v>391085.1</v>
      </c>
      <c r="F7" s="1">
        <f>Premiums!F4</f>
        <v>418395</v>
      </c>
      <c r="G7" s="1" cm="1">
        <f t="array" ref="G7">_xlfn.IFS(Premiums!B4=1,1, Premiums!B4=2,'Discount Calculations'!$P$8,Premiums!B4=3,'Discount Calculations'!$P$9,Premiums!B4=4,'Discount Calculations'!$P$10)*Premiums!G4</f>
        <v>139599</v>
      </c>
      <c r="H7" s="1">
        <f>Premiums!H4</f>
        <v>280331</v>
      </c>
      <c r="I7" s="1">
        <f>Premiums!I4</f>
        <v>139547</v>
      </c>
    </row>
    <row r="8" spans="1:9" x14ac:dyDescent="0.4">
      <c r="A8" t="s">
        <v>24</v>
      </c>
      <c r="B8">
        <v>1</v>
      </c>
      <c r="C8">
        <v>3</v>
      </c>
      <c r="D8" s="1" cm="1">
        <f t="array" ref="D8">_xlfn.IFS(Premiums!C5=1,1,Premiums!C5=2, 'Discount Calculations'!$P$14,Premiums!C5=3,'Discount Calculations'!$P$15)*Premiums!D5</f>
        <v>358558.89999999997</v>
      </c>
      <c r="E8" s="1">
        <f>IF(Premiums!A5="Y",'Discount Calculations'!$P$3,1)*Premiums!E5</f>
        <v>130412.09999999999</v>
      </c>
      <c r="F8" s="1">
        <f>Premiums!F5</f>
        <v>139468</v>
      </c>
      <c r="G8" s="1" cm="1">
        <f t="array" ref="G8">_xlfn.IFS(Premiums!B5=1,1, Premiums!B5=2,'Discount Calculations'!$P$8,Premiums!B5=3,'Discount Calculations'!$P$9,Premiums!B5=4,'Discount Calculations'!$P$10)*Premiums!G5</f>
        <v>46769</v>
      </c>
      <c r="H8" s="1">
        <f>Premiums!H5</f>
        <v>93730</v>
      </c>
      <c r="I8" s="1">
        <f>Premiums!I5</f>
        <v>46508</v>
      </c>
    </row>
    <row r="9" spans="1:9" x14ac:dyDescent="0.4">
      <c r="A9" t="s">
        <v>24</v>
      </c>
      <c r="B9">
        <v>2</v>
      </c>
      <c r="C9">
        <v>1</v>
      </c>
      <c r="D9" s="1" cm="1">
        <f t="array" ref="D9">_xlfn.IFS(Premiums!C6=1,1,Premiums!C6=2, 'Discount Calculations'!$P$14,Premiums!C6=3,'Discount Calculations'!$P$15)*Premiums!D6</f>
        <v>10104346</v>
      </c>
      <c r="E9" s="1">
        <f>IF(Premiums!A6="Y",'Discount Calculations'!$P$3,1)*Premiums!E6</f>
        <v>3141889.8</v>
      </c>
      <c r="F9" s="1">
        <f>Premiums!F6</f>
        <v>3371550</v>
      </c>
      <c r="G9" s="1" cm="1">
        <f t="array" ref="G9">_xlfn.IFS(Premiums!B6=1,1, Premiums!B6=2,'Discount Calculations'!$P$8,Premiums!B6=3,'Discount Calculations'!$P$9,Premiums!B6=4,'Discount Calculations'!$P$10)*Premiums!G6</f>
        <v>956129.29999999993</v>
      </c>
      <c r="H9" s="1">
        <f>Premiums!H6</f>
        <v>2245941</v>
      </c>
      <c r="I9" s="1">
        <f>Premiums!I6</f>
        <v>1117251</v>
      </c>
    </row>
    <row r="10" spans="1:9" x14ac:dyDescent="0.4">
      <c r="A10" t="s">
        <v>24</v>
      </c>
      <c r="B10">
        <v>2</v>
      </c>
      <c r="C10">
        <v>2</v>
      </c>
      <c r="D10" s="1" cm="1">
        <f t="array" ref="D10">_xlfn.IFS(Premiums!C7=1,1,Premiums!C7=2, 'Discount Calculations'!$P$14,Premiums!C7=3,'Discount Calculations'!$P$15)*Premiums!D7</f>
        <v>4030308.8000000003</v>
      </c>
      <c r="E10" s="1">
        <f>IF(Premiums!A7="Y",'Discount Calculations'!$P$3,1)*Premiums!E7</f>
        <v>1565563.2999999998</v>
      </c>
      <c r="F10" s="1">
        <f>Premiums!F7</f>
        <v>1679608</v>
      </c>
      <c r="G10" s="1" cm="1">
        <f t="array" ref="G10">_xlfn.IFS(Premiums!B7=1,1, Premiums!B7=2,'Discount Calculations'!$P$8,Premiums!B7=3,'Discount Calculations'!$P$9,Premiums!B7=4,'Discount Calculations'!$P$10)*Premiums!G7</f>
        <v>475135.55</v>
      </c>
      <c r="H10" s="1">
        <f>Premiums!H7</f>
        <v>1118357</v>
      </c>
      <c r="I10" s="1">
        <f>Premiums!I7</f>
        <v>562623</v>
      </c>
    </row>
    <row r="11" spans="1:9" x14ac:dyDescent="0.4">
      <c r="A11" t="s">
        <v>24</v>
      </c>
      <c r="B11">
        <v>2</v>
      </c>
      <c r="C11">
        <v>3</v>
      </c>
      <c r="D11" s="1" cm="1">
        <f t="array" ref="D11">_xlfn.IFS(Premiums!C8=1,1,Premiums!C8=2, 'Discount Calculations'!$P$14,Premiums!C8=3,'Discount Calculations'!$P$15)*Premiums!D8</f>
        <v>1422946.75</v>
      </c>
      <c r="E11" s="1">
        <f>IF(Premiums!A8="Y",'Discount Calculations'!$P$3,1)*Premiums!E8</f>
        <v>525107.1</v>
      </c>
      <c r="F11" s="1">
        <f>Premiums!F8</f>
        <v>560756</v>
      </c>
      <c r="G11" s="1" cm="1">
        <f t="array" ref="G11">_xlfn.IFS(Premiums!B8=1,1, Premiums!B8=2,'Discount Calculations'!$P$8,Premiums!B8=3,'Discount Calculations'!$P$9,Premiums!B8=4,'Discount Calculations'!$P$10)*Premiums!G8</f>
        <v>159289.15</v>
      </c>
      <c r="H11" s="1">
        <f>Premiums!H8</f>
        <v>371994</v>
      </c>
      <c r="I11" s="1">
        <f>Premiums!I8</f>
        <v>186625</v>
      </c>
    </row>
    <row r="12" spans="1:9" x14ac:dyDescent="0.4">
      <c r="A12" t="s">
        <v>24</v>
      </c>
      <c r="B12">
        <v>3</v>
      </c>
      <c r="C12">
        <v>1</v>
      </c>
      <c r="D12" s="1" cm="1">
        <f t="array" ref="D12">_xlfn.IFS(Premiums!C9=1,1,Premiums!C9=2, 'Discount Calculations'!$P$14,Premiums!C9=3,'Discount Calculations'!$P$15)*Premiums!D9</f>
        <v>7574980</v>
      </c>
      <c r="E12" s="1">
        <f>IF(Premiums!A9="Y",'Discount Calculations'!$P$3,1)*Premiums!E9</f>
        <v>2359500.5</v>
      </c>
      <c r="F12" s="1">
        <f>Premiums!F9</f>
        <v>2522123</v>
      </c>
      <c r="G12" s="1" cm="1">
        <f t="array" ref="G12">_xlfn.IFS(Premiums!B9=1,1, Premiums!B9=2,'Discount Calculations'!$P$8,Premiums!B9=3,'Discount Calculations'!$P$9,Premiums!B9=4,'Discount Calculations'!$P$10)*Premiums!G9</f>
        <v>627560.25</v>
      </c>
      <c r="H12" s="1">
        <f>Premiums!H9</f>
        <v>1679515</v>
      </c>
      <c r="I12" s="1">
        <f>Premiums!I9</f>
        <v>836211</v>
      </c>
    </row>
    <row r="13" spans="1:9" x14ac:dyDescent="0.4">
      <c r="A13" t="s">
        <v>24</v>
      </c>
      <c r="B13">
        <v>3</v>
      </c>
      <c r="C13">
        <v>2</v>
      </c>
      <c r="D13" s="1" cm="1">
        <f t="array" ref="D13">_xlfn.IFS(Premiums!C10=1,1,Premiums!C10=2, 'Discount Calculations'!$P$14,Premiums!C10=3,'Discount Calculations'!$P$15)*Premiums!D10</f>
        <v>3024093.6</v>
      </c>
      <c r="E13" s="1">
        <f>IF(Premiums!A10="Y",'Discount Calculations'!$P$3,1)*Premiums!E10</f>
        <v>1175006.7</v>
      </c>
      <c r="F13" s="1">
        <f>Premiums!F10</f>
        <v>1261442</v>
      </c>
      <c r="G13" s="1" cm="1">
        <f t="array" ref="G13">_xlfn.IFS(Premiums!B10=1,1, Premiums!B10=2,'Discount Calculations'!$P$8,Premiums!B10=3,'Discount Calculations'!$P$9,Premiums!B10=4,'Discount Calculations'!$P$10)*Premiums!G10</f>
        <v>314993.25</v>
      </c>
      <c r="H13" s="1">
        <f>Premiums!H10</f>
        <v>842585</v>
      </c>
      <c r="I13" s="1">
        <f>Premiums!I10</f>
        <v>417989</v>
      </c>
    </row>
    <row r="14" spans="1:9" x14ac:dyDescent="0.4">
      <c r="A14" t="s">
        <v>24</v>
      </c>
      <c r="B14">
        <v>3</v>
      </c>
      <c r="C14">
        <v>3</v>
      </c>
      <c r="D14" s="1" cm="1">
        <f t="array" ref="D14">_xlfn.IFS(Premiums!C11=1,1,Premiums!C11=2, 'Discount Calculations'!$P$14,Premiums!C11=3,'Discount Calculations'!$P$15)*Premiums!D11</f>
        <v>1073653.7</v>
      </c>
      <c r="E14" s="1">
        <f>IF(Premiums!A11="Y",'Discount Calculations'!$P$3,1)*Premiums!E11</f>
        <v>392284.19999999995</v>
      </c>
      <c r="F14" s="1">
        <f>Premiums!F11</f>
        <v>420443</v>
      </c>
      <c r="G14" s="1" cm="1">
        <f t="array" ref="G14">_xlfn.IFS(Premiums!B11=1,1, Premiums!B11=2,'Discount Calculations'!$P$8,Premiums!B11=3,'Discount Calculations'!$P$9,Premiums!B11=4,'Discount Calculations'!$P$10)*Premiums!G11</f>
        <v>104769</v>
      </c>
      <c r="H14" s="1">
        <f>Premiums!H11</f>
        <v>278698</v>
      </c>
      <c r="I14" s="1">
        <f>Premiums!I11</f>
        <v>140219</v>
      </c>
    </row>
    <row r="15" spans="1:9" x14ac:dyDescent="0.4">
      <c r="A15" t="s">
        <v>24</v>
      </c>
      <c r="B15">
        <v>4</v>
      </c>
      <c r="C15">
        <v>1</v>
      </c>
      <c r="D15" s="1" cm="1">
        <f t="array" ref="D15">_xlfn.IFS(Premiums!C12=1,1,Premiums!C12=2, 'Discount Calculations'!$P$14,Premiums!C12=3,'Discount Calculations'!$P$15)*Premiums!D12</f>
        <v>5055839</v>
      </c>
      <c r="E15" s="1">
        <f>IF(Premiums!A12="Y",'Discount Calculations'!$P$3,1)*Premiums!E12</f>
        <v>1562358.7</v>
      </c>
      <c r="F15" s="1">
        <f>Premiums!F12</f>
        <v>1683337</v>
      </c>
      <c r="G15" s="1" cm="1">
        <f t="array" ref="G15">_xlfn.IFS(Premiums!B12=1,1, Premiums!B12=2,'Discount Calculations'!$P$8,Premiums!B12=3,'Discount Calculations'!$P$9,Premiums!B12=4,'Discount Calculations'!$P$10)*Premiums!G12</f>
        <v>391239.1</v>
      </c>
      <c r="H15" s="1">
        <f>Premiums!H12</f>
        <v>1116047</v>
      </c>
      <c r="I15" s="1">
        <f>Premiums!I12</f>
        <v>558250</v>
      </c>
    </row>
    <row r="16" spans="1:9" x14ac:dyDescent="0.4">
      <c r="A16" t="s">
        <v>24</v>
      </c>
      <c r="B16">
        <v>4</v>
      </c>
      <c r="C16">
        <v>2</v>
      </c>
      <c r="D16" s="1" cm="1">
        <f t="array" ref="D16">_xlfn.IFS(Premiums!C13=1,1,Premiums!C13=2, 'Discount Calculations'!$P$14,Premiums!C13=3,'Discount Calculations'!$P$15)*Premiums!D13</f>
        <v>2023866.4000000001</v>
      </c>
      <c r="E16" s="1">
        <f>IF(Premiums!A13="Y",'Discount Calculations'!$P$3,1)*Premiums!E13</f>
        <v>780720.5</v>
      </c>
      <c r="F16" s="1">
        <f>Premiums!F13</f>
        <v>837676</v>
      </c>
      <c r="G16" s="1" cm="1">
        <f t="array" ref="G16">_xlfn.IFS(Premiums!B13=1,1, Premiums!B13=2,'Discount Calculations'!$P$8,Premiums!B13=3,'Discount Calculations'!$P$9,Premiums!B13=4,'Discount Calculations'!$P$10)*Premiums!G13</f>
        <v>195627.59999999998</v>
      </c>
      <c r="H16" s="1">
        <f>Premiums!H13</f>
        <v>560065</v>
      </c>
      <c r="I16" s="1">
        <f>Premiums!I13</f>
        <v>281288</v>
      </c>
    </row>
    <row r="17" spans="1:9" x14ac:dyDescent="0.4">
      <c r="A17" t="s">
        <v>24</v>
      </c>
      <c r="B17">
        <v>4</v>
      </c>
      <c r="C17">
        <v>3</v>
      </c>
      <c r="D17" s="1" cm="1">
        <f t="array" ref="D17">_xlfn.IFS(Premiums!C14=1,1,Premiums!C14=2, 'Discount Calculations'!$P$14,Premiums!C14=3,'Discount Calculations'!$P$15)*Premiums!D14</f>
        <v>715785</v>
      </c>
      <c r="E17" s="1">
        <f>IF(Premiums!A14="Y",'Discount Calculations'!$P$3,1)*Premiums!E14</f>
        <v>260581.99999999997</v>
      </c>
      <c r="F17" s="1">
        <f>Premiums!F14</f>
        <v>278614</v>
      </c>
      <c r="G17" s="1" cm="1">
        <f t="array" ref="G17">_xlfn.IFS(Premiums!B14=1,1, Premiums!B14=2,'Discount Calculations'!$P$8,Premiums!B14=3,'Discount Calculations'!$P$9,Premiums!B14=4,'Discount Calculations'!$P$10)*Premiums!G14</f>
        <v>65114.7</v>
      </c>
      <c r="H17" s="1">
        <f>Premiums!H14</f>
        <v>186793</v>
      </c>
      <c r="I17" s="1">
        <f>Premiums!I14</f>
        <v>93263</v>
      </c>
    </row>
    <row r="18" spans="1:9" x14ac:dyDescent="0.4">
      <c r="A18" t="s">
        <v>25</v>
      </c>
      <c r="B18">
        <v>1</v>
      </c>
      <c r="C18">
        <v>1</v>
      </c>
      <c r="D18" s="1" cm="1">
        <f t="array" ref="D18">_xlfn.IFS(Premiums!C15=1,1,Premiums!C15=2, 'Discount Calculations'!$P$14,Premiums!C15=3,'Discount Calculations'!$P$15)*Premiums!D15</f>
        <v>10050955</v>
      </c>
      <c r="E18" s="1">
        <f>IF(Premiums!A15="Y",'Discount Calculations'!$P$3,1)*Premiums!E15</f>
        <v>4492068</v>
      </c>
      <c r="F18" s="1">
        <f>Premiums!F15</f>
        <v>3357928</v>
      </c>
      <c r="G18" s="1" cm="1">
        <f t="array" ref="G18">_xlfn.IFS(Premiums!B15=1,1, Premiums!B15=2,'Discount Calculations'!$P$8,Premiums!B15=3,'Discount Calculations'!$P$9,Premiums!B15=4,'Discount Calculations'!$P$10)*Premiums!G15</f>
        <v>1118605</v>
      </c>
      <c r="H18" s="1">
        <f>Premiums!H15</f>
        <v>2241965</v>
      </c>
      <c r="I18" s="1">
        <f>Premiums!I15</f>
        <v>1122459</v>
      </c>
    </row>
    <row r="19" spans="1:9" x14ac:dyDescent="0.4">
      <c r="A19" t="s">
        <v>25</v>
      </c>
      <c r="B19">
        <v>1</v>
      </c>
      <c r="C19">
        <v>2</v>
      </c>
      <c r="D19" s="1" cm="1">
        <f t="array" ref="D19">_xlfn.IFS(Premiums!C16=1,1,Premiums!C16=2, 'Discount Calculations'!$P$14,Premiums!C16=3,'Discount Calculations'!$P$15)*Premiums!D16</f>
        <v>4035980</v>
      </c>
      <c r="E19" s="1">
        <f>IF(Premiums!A16="Y",'Discount Calculations'!$P$3,1)*Premiums!E16</f>
        <v>2232617</v>
      </c>
      <c r="F19" s="1">
        <f>Premiums!F16</f>
        <v>1674367</v>
      </c>
      <c r="G19" s="1" cm="1">
        <f t="array" ref="G19">_xlfn.IFS(Premiums!B16=1,1, Premiums!B16=2,'Discount Calculations'!$P$8,Premiums!B16=3,'Discount Calculations'!$P$9,Premiums!B16=4,'Discount Calculations'!$P$10)*Premiums!G16</f>
        <v>561974</v>
      </c>
      <c r="H19" s="1">
        <f>Premiums!H16</f>
        <v>1117559</v>
      </c>
      <c r="I19" s="1">
        <f>Premiums!I16</f>
        <v>562665</v>
      </c>
    </row>
    <row r="20" spans="1:9" x14ac:dyDescent="0.4">
      <c r="A20" t="s">
        <v>25</v>
      </c>
      <c r="B20">
        <v>1</v>
      </c>
      <c r="C20">
        <v>3</v>
      </c>
      <c r="D20" s="1" cm="1">
        <f t="array" ref="D20">_xlfn.IFS(Premiums!C17=1,1,Premiums!C17=2, 'Discount Calculations'!$P$14,Premiums!C17=3,'Discount Calculations'!$P$15)*Premiums!D17</f>
        <v>1432958.05</v>
      </c>
      <c r="E20" s="1">
        <f>IF(Premiums!A17="Y",'Discount Calculations'!$P$3,1)*Premiums!E17</f>
        <v>746914</v>
      </c>
      <c r="F20" s="1">
        <f>Premiums!F17</f>
        <v>558791</v>
      </c>
      <c r="G20" s="1" cm="1">
        <f t="array" ref="G20">_xlfn.IFS(Premiums!B17=1,1, Premiums!B17=2,'Discount Calculations'!$P$8,Premiums!B17=3,'Discount Calculations'!$P$9,Premiums!B17=4,'Discount Calculations'!$P$10)*Premiums!G17</f>
        <v>187488</v>
      </c>
      <c r="H20" s="1">
        <f>Premiums!H17</f>
        <v>372227</v>
      </c>
      <c r="I20" s="1">
        <f>Premiums!I17</f>
        <v>187539</v>
      </c>
    </row>
    <row r="21" spans="1:9" x14ac:dyDescent="0.4">
      <c r="A21" t="s">
        <v>25</v>
      </c>
      <c r="B21">
        <v>2</v>
      </c>
      <c r="C21">
        <v>1</v>
      </c>
      <c r="D21" s="1" cm="1">
        <f t="array" ref="D21">_xlfn.IFS(Premiums!C18=1,1,Premiums!C18=2, 'Discount Calculations'!$P$14,Premiums!C18=3,'Discount Calculations'!$P$15)*Premiums!D18</f>
        <v>40251862</v>
      </c>
      <c r="E21" s="1">
        <f>IF(Premiums!A18="Y",'Discount Calculations'!$P$3,1)*Premiums!E18</f>
        <v>17838833</v>
      </c>
      <c r="F21" s="1">
        <f>Premiums!F18</f>
        <v>13503359</v>
      </c>
      <c r="G21" s="1" cm="1">
        <f t="array" ref="G21">_xlfn.IFS(Premiums!B18=1,1, Premiums!B18=2,'Discount Calculations'!$P$8,Premiums!B18=3,'Discount Calculations'!$P$9,Premiums!B18=4,'Discount Calculations'!$P$10)*Premiums!G18</f>
        <v>3791530.4</v>
      </c>
      <c r="H21" s="1">
        <f>Premiums!H18</f>
        <v>8972091</v>
      </c>
      <c r="I21" s="1">
        <f>Premiums!I18</f>
        <v>4469099</v>
      </c>
    </row>
    <row r="22" spans="1:9" x14ac:dyDescent="0.4">
      <c r="A22" t="s">
        <v>25</v>
      </c>
      <c r="B22">
        <v>2</v>
      </c>
      <c r="C22">
        <v>2</v>
      </c>
      <c r="D22" s="1" cm="1">
        <f t="array" ref="D22">_xlfn.IFS(Premiums!C19=1,1,Premiums!C19=2, 'Discount Calculations'!$P$14,Premiums!C19=3,'Discount Calculations'!$P$15)*Premiums!D19</f>
        <v>16101803.200000001</v>
      </c>
      <c r="E22" s="1">
        <f>IF(Premiums!A19="Y",'Discount Calculations'!$P$3,1)*Premiums!E19</f>
        <v>8956155</v>
      </c>
      <c r="F22" s="1">
        <f>Premiums!F19</f>
        <v>6726034</v>
      </c>
      <c r="G22" s="1" cm="1">
        <f t="array" ref="G22">_xlfn.IFS(Premiums!B19=1,1, Premiums!B19=2,'Discount Calculations'!$P$8,Premiums!B19=3,'Discount Calculations'!$P$9,Premiums!B19=4,'Discount Calculations'!$P$10)*Premiums!G19</f>
        <v>1909700.0999999999</v>
      </c>
      <c r="H22" s="1">
        <f>Premiums!H19</f>
        <v>4467293</v>
      </c>
      <c r="I22" s="1">
        <f>Premiums!I19</f>
        <v>2232846</v>
      </c>
    </row>
    <row r="23" spans="1:9" x14ac:dyDescent="0.4">
      <c r="A23" t="s">
        <v>25</v>
      </c>
      <c r="B23">
        <v>2</v>
      </c>
      <c r="C23">
        <v>3</v>
      </c>
      <c r="D23" s="1" cm="1">
        <f t="array" ref="D23">_xlfn.IFS(Premiums!C20=1,1,Premiums!C20=2, 'Discount Calculations'!$P$14,Premiums!C20=3,'Discount Calculations'!$P$15)*Premiums!D20</f>
        <v>5703641.9500000002</v>
      </c>
      <c r="E23" s="1">
        <f>IF(Premiums!A20="Y",'Discount Calculations'!$P$3,1)*Premiums!E20</f>
        <v>2989779</v>
      </c>
      <c r="F23" s="1">
        <f>Premiums!F20</f>
        <v>2241092</v>
      </c>
      <c r="G23" s="1" cm="1">
        <f t="array" ref="G23">_xlfn.IFS(Premiums!B20=1,1, Premiums!B20=2,'Discount Calculations'!$P$8,Premiums!B20=3,'Discount Calculations'!$P$9,Premiums!B20=4,'Discount Calculations'!$P$10)*Premiums!G20</f>
        <v>635590.9</v>
      </c>
      <c r="H23" s="1">
        <f>Premiums!H20</f>
        <v>1486165</v>
      </c>
      <c r="I23" s="1">
        <f>Premiums!I20</f>
        <v>745467</v>
      </c>
    </row>
    <row r="24" spans="1:9" x14ac:dyDescent="0.4">
      <c r="A24" t="s">
        <v>25</v>
      </c>
      <c r="B24">
        <v>3</v>
      </c>
      <c r="C24">
        <v>1</v>
      </c>
      <c r="D24" s="1" cm="1">
        <f t="array" ref="D24">_xlfn.IFS(Premiums!C21=1,1,Premiums!C21=2, 'Discount Calculations'!$P$14,Premiums!C21=3,'Discount Calculations'!$P$15)*Premiums!D21</f>
        <v>30145136</v>
      </c>
      <c r="E24" s="1">
        <f>IF(Premiums!A21="Y",'Discount Calculations'!$P$3,1)*Premiums!E21</f>
        <v>13436855</v>
      </c>
      <c r="F24" s="1">
        <f>Premiums!F21</f>
        <v>10058874</v>
      </c>
      <c r="G24" s="1" cm="1">
        <f t="array" ref="G24">_xlfn.IFS(Premiums!B21=1,1, Premiums!B21=2,'Discount Calculations'!$P$8,Premiums!B21=3,'Discount Calculations'!$P$9,Premiums!B21=4,'Discount Calculations'!$P$10)*Premiums!G21</f>
        <v>2522799.75</v>
      </c>
      <c r="H24" s="1">
        <f>Premiums!H21</f>
        <v>6749531</v>
      </c>
      <c r="I24" s="1">
        <f>Premiums!I21</f>
        <v>3362086</v>
      </c>
    </row>
    <row r="25" spans="1:9" x14ac:dyDescent="0.4">
      <c r="A25" t="s">
        <v>25</v>
      </c>
      <c r="B25">
        <v>3</v>
      </c>
      <c r="C25">
        <v>2</v>
      </c>
      <c r="D25" s="1" cm="1">
        <f t="array" ref="D25">_xlfn.IFS(Premiums!C22=1,1,Premiums!C22=2, 'Discount Calculations'!$P$14,Premiums!C22=3,'Discount Calculations'!$P$15)*Premiums!D22</f>
        <v>12051764</v>
      </c>
      <c r="E25" s="1">
        <f>IF(Premiums!A22="Y",'Discount Calculations'!$P$3,1)*Premiums!E22</f>
        <v>6717256</v>
      </c>
      <c r="F25" s="1">
        <f>Premiums!F22</f>
        <v>5029029</v>
      </c>
      <c r="G25" s="1" cm="1">
        <f t="array" ref="G25">_xlfn.IFS(Premiums!B22=1,1, Premiums!B22=2,'Discount Calculations'!$P$8,Premiums!B22=3,'Discount Calculations'!$P$9,Premiums!B22=4,'Discount Calculations'!$P$10)*Premiums!G22</f>
        <v>1256706.75</v>
      </c>
      <c r="H25" s="1">
        <f>Premiums!H22</f>
        <v>3347064</v>
      </c>
      <c r="I25" s="1">
        <f>Premiums!I22</f>
        <v>1672529</v>
      </c>
    </row>
    <row r="26" spans="1:9" x14ac:dyDescent="0.4">
      <c r="A26" t="s">
        <v>25</v>
      </c>
      <c r="B26">
        <v>3</v>
      </c>
      <c r="C26">
        <v>3</v>
      </c>
      <c r="D26" s="1" cm="1">
        <f t="array" ref="D26">_xlfn.IFS(Premiums!C23=1,1,Premiums!C23=2, 'Discount Calculations'!$P$14,Premiums!C23=3,'Discount Calculations'!$P$15)*Premiums!D23</f>
        <v>4276272.6499999994</v>
      </c>
      <c r="E26" s="1">
        <f>IF(Premiums!A23="Y",'Discount Calculations'!$P$3,1)*Premiums!E23</f>
        <v>2244923</v>
      </c>
      <c r="F26" s="1">
        <f>Premiums!F23</f>
        <v>1677452</v>
      </c>
      <c r="G26" s="1" cm="1">
        <f t="array" ref="G26">_xlfn.IFS(Premiums!B23=1,1, Premiums!B23=2,'Discount Calculations'!$P$8,Premiums!B23=3,'Discount Calculations'!$P$9,Premiums!B23=4,'Discount Calculations'!$P$10)*Premiums!G23</f>
        <v>421539.75</v>
      </c>
      <c r="H26" s="1">
        <f>Premiums!H23</f>
        <v>1123878</v>
      </c>
      <c r="I26" s="1">
        <f>Premiums!I23</f>
        <v>561759</v>
      </c>
    </row>
    <row r="27" spans="1:9" x14ac:dyDescent="0.4">
      <c r="A27" t="s">
        <v>25</v>
      </c>
      <c r="B27">
        <v>4</v>
      </c>
      <c r="C27">
        <v>1</v>
      </c>
      <c r="D27" s="1" cm="1">
        <f t="array" ref="D27">_xlfn.IFS(Premiums!C24=1,1,Premiums!C24=2, 'Discount Calculations'!$P$14,Premiums!C24=3,'Discount Calculations'!$P$15)*Premiums!D24</f>
        <v>20253595</v>
      </c>
      <c r="E27" s="1">
        <f>IF(Premiums!A24="Y",'Discount Calculations'!$P$3,1)*Premiums!E24</f>
        <v>8979236</v>
      </c>
      <c r="F27" s="1">
        <f>Premiums!F24</f>
        <v>6749302</v>
      </c>
      <c r="G27" s="1" cm="1">
        <f t="array" ref="G27">_xlfn.IFS(Premiums!B24=1,1, Premiums!B24=2,'Discount Calculations'!$P$8,Premiums!B24=3,'Discount Calculations'!$P$9,Premiums!B24=4,'Discount Calculations'!$P$10)*Premiums!G24</f>
        <v>1575258.2999999998</v>
      </c>
      <c r="H27" s="1">
        <f>Premiums!H24</f>
        <v>4494051</v>
      </c>
      <c r="I27" s="1">
        <f>Premiums!I24</f>
        <v>2250187</v>
      </c>
    </row>
    <row r="28" spans="1:9" x14ac:dyDescent="0.4">
      <c r="A28" t="s">
        <v>25</v>
      </c>
      <c r="B28">
        <v>4</v>
      </c>
      <c r="C28">
        <v>2</v>
      </c>
      <c r="D28" s="1" cm="1">
        <f t="array" ref="D28">_xlfn.IFS(Premiums!C25=1,1,Premiums!C25=2, 'Discount Calculations'!$P$14,Premiums!C25=3,'Discount Calculations'!$P$15)*Premiums!D25</f>
        <v>8043698.4000000004</v>
      </c>
      <c r="E28" s="1">
        <f>IF(Premiums!A25="Y",'Discount Calculations'!$P$3,1)*Premiums!E25</f>
        <v>4498667</v>
      </c>
      <c r="F28" s="1">
        <f>Premiums!F25</f>
        <v>3355506</v>
      </c>
      <c r="G28" s="1" cm="1">
        <f t="array" ref="G28">_xlfn.IFS(Premiums!B25=1,1, Premiums!B25=2,'Discount Calculations'!$P$8,Premiums!B25=3,'Discount Calculations'!$P$9,Premiums!B25=4,'Discount Calculations'!$P$10)*Premiums!G25</f>
        <v>782882.79999999993</v>
      </c>
      <c r="H28" s="1">
        <f>Premiums!H25</f>
        <v>2234391</v>
      </c>
      <c r="I28" s="1">
        <f>Premiums!I25</f>
        <v>1124746</v>
      </c>
    </row>
    <row r="29" spans="1:9" x14ac:dyDescent="0.4">
      <c r="A29" t="s">
        <v>25</v>
      </c>
      <c r="B29">
        <v>4</v>
      </c>
      <c r="C29">
        <v>3</v>
      </c>
      <c r="D29" s="1" cm="1">
        <f t="array" ref="D29">_xlfn.IFS(Premiums!C26=1,1,Premiums!C26=2, 'Discount Calculations'!$P$14,Premiums!C26=3,'Discount Calculations'!$P$15)*Premiums!D26</f>
        <v>2857721.25</v>
      </c>
      <c r="E29" s="1">
        <f>IF(Premiums!A26="Y",'Discount Calculations'!$P$3,1)*Premiums!E26</f>
        <v>1495265</v>
      </c>
      <c r="F29" s="1">
        <f>Premiums!F26</f>
        <v>1125110</v>
      </c>
      <c r="G29" s="1" cm="1">
        <f t="array" ref="G29">_xlfn.IFS(Premiums!B26=1,1, Premiums!B26=2,'Discount Calculations'!$P$8,Premiums!B26=3,'Discount Calculations'!$P$9,Premiums!B26=4,'Discount Calculations'!$P$10)*Premiums!G26</f>
        <v>261989.69999999998</v>
      </c>
      <c r="H29" s="1">
        <f>Premiums!H26</f>
        <v>747189</v>
      </c>
      <c r="I29" s="1">
        <f>Premiums!I26</f>
        <v>373847</v>
      </c>
    </row>
    <row r="30" spans="1:9" x14ac:dyDescent="0.4">
      <c r="D30" s="1">
        <f>SUM(D6:D29)</f>
        <v>194123188.65000001</v>
      </c>
      <c r="E30" s="1">
        <f t="shared" ref="E30:I30" si="0">SUM(E6:E29)</f>
        <v>87696643.299999997</v>
      </c>
      <c r="F30" s="1">
        <f t="shared" si="0"/>
        <v>70067125</v>
      </c>
      <c r="G30" s="1">
        <f t="shared" si="0"/>
        <v>18782800.350000001</v>
      </c>
      <c r="H30" s="1">
        <f t="shared" si="0"/>
        <v>46690073</v>
      </c>
      <c r="I30" s="1">
        <f t="shared" si="0"/>
        <v>23324942</v>
      </c>
    </row>
    <row r="32" spans="1:9" x14ac:dyDescent="0.4">
      <c r="A32" t="s">
        <v>114</v>
      </c>
    </row>
    <row r="33" spans="1:2" x14ac:dyDescent="0.4">
      <c r="A33" s="7" t="s">
        <v>115</v>
      </c>
      <c r="B33" s="1"/>
    </row>
    <row r="34" spans="1:2" x14ac:dyDescent="0.4">
      <c r="A34" t="s">
        <v>107</v>
      </c>
      <c r="B34" s="1">
        <f>E30</f>
        <v>87696643.299999997</v>
      </c>
    </row>
    <row r="35" spans="1:2" x14ac:dyDescent="0.4">
      <c r="A35" t="s">
        <v>106</v>
      </c>
      <c r="B35" s="18">
        <f>Premiums!E27</f>
        <v>93297247</v>
      </c>
    </row>
    <row r="36" spans="1:2" x14ac:dyDescent="0.4">
      <c r="A36" t="s">
        <v>108</v>
      </c>
      <c r="B36">
        <f>B35/B34</f>
        <v>1.0638633759429195</v>
      </c>
    </row>
    <row r="38" spans="1:2" x14ac:dyDescent="0.4">
      <c r="A38" s="7" t="s">
        <v>116</v>
      </c>
    </row>
    <row r="39" spans="1:2" x14ac:dyDescent="0.4">
      <c r="A39" t="s">
        <v>107</v>
      </c>
      <c r="B39" s="18">
        <f>D30</f>
        <v>194123188.65000001</v>
      </c>
    </row>
    <row r="40" spans="1:2" x14ac:dyDescent="0.4">
      <c r="A40" t="s">
        <v>106</v>
      </c>
      <c r="B40" s="1">
        <f>Premiums!D27</f>
        <v>209852582</v>
      </c>
    </row>
    <row r="41" spans="1:2" x14ac:dyDescent="0.4">
      <c r="A41" t="s">
        <v>108</v>
      </c>
      <c r="B41">
        <f>B40/B39</f>
        <v>1.0810278950154675</v>
      </c>
    </row>
    <row r="43" spans="1:2" x14ac:dyDescent="0.4">
      <c r="A43" s="7" t="s">
        <v>21</v>
      </c>
    </row>
    <row r="44" spans="1:2" x14ac:dyDescent="0.4">
      <c r="A44" t="s">
        <v>107</v>
      </c>
      <c r="B44" s="1">
        <f>G30</f>
        <v>18782800.350000001</v>
      </c>
    </row>
    <row r="45" spans="1:2" x14ac:dyDescent="0.4">
      <c r="A45" t="s">
        <v>106</v>
      </c>
      <c r="B45" s="1">
        <f>Premiums!G27</f>
        <v>23333539</v>
      </c>
    </row>
    <row r="46" spans="1:2" x14ac:dyDescent="0.4">
      <c r="A46" t="s">
        <v>108</v>
      </c>
      <c r="B46">
        <f>B45/B44</f>
        <v>1.2422822244394456</v>
      </c>
    </row>
    <row r="51" spans="1:4" x14ac:dyDescent="0.4">
      <c r="A51" s="7"/>
    </row>
    <row r="58" spans="1:4" x14ac:dyDescent="0.4">
      <c r="A58" s="7"/>
      <c r="C58" s="13"/>
    </row>
    <row r="59" spans="1:4" x14ac:dyDescent="0.4">
      <c r="C59" s="13"/>
    </row>
    <row r="60" spans="1:4" x14ac:dyDescent="0.4">
      <c r="C60" s="13"/>
    </row>
    <row r="61" spans="1:4" x14ac:dyDescent="0.4">
      <c r="C61" s="13"/>
    </row>
    <row r="62" spans="1:4" x14ac:dyDescent="0.4">
      <c r="A62" s="16"/>
      <c r="B62" s="14"/>
      <c r="C62" s="14"/>
      <c r="D62" s="15"/>
    </row>
    <row r="64" spans="1:4" x14ac:dyDescent="0.4">
      <c r="B64" s="17"/>
    </row>
    <row r="65" spans="2:2" x14ac:dyDescent="0.4">
      <c r="B65" s="1"/>
    </row>
    <row r="66" spans="2:2" x14ac:dyDescent="0.4">
      <c r="B66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D24D4F71A634D91A34F14C517243B" ma:contentTypeVersion="20" ma:contentTypeDescription="Create a new document." ma:contentTypeScope="" ma:versionID="0b6503fbfa38982b332dd3fa950d2a12">
  <xsd:schema xmlns:xsd="http://www.w3.org/2001/XMLSchema" xmlns:xs="http://www.w3.org/2001/XMLSchema" xmlns:p="http://schemas.microsoft.com/office/2006/metadata/properties" xmlns:ns1="http://schemas.microsoft.com/sharepoint/v3" xmlns:ns2="1f5c59bb-fff3-44bb-af19-8c47570356e4" xmlns:ns3="7aa30d0e-d5b0-496b-a38f-b8a612c662b7" xmlns:ns4="035059a0-d0ab-420a-99f5-7e53cb92e6c1" targetNamespace="http://schemas.microsoft.com/office/2006/metadata/properties" ma:root="true" ma:fieldsID="71810070e01b6c599a8daa4b4b6fc7be" ns1:_="" ns2:_="" ns3:_="" ns4:_="">
    <xsd:import namespace="http://schemas.microsoft.com/sharepoint/v3"/>
    <xsd:import namespace="1f5c59bb-fff3-44bb-af19-8c47570356e4"/>
    <xsd:import namespace="7aa30d0e-d5b0-496b-a38f-b8a612c662b7"/>
    <xsd:import namespace="035059a0-d0ab-420a-99f5-7e53cb92e6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c59bb-fff3-44bb-af19-8c47570356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560b896-8886-498a-a042-c3e26b9789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30d0e-d5b0-496b-a38f-b8a612c662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059a0-d0ab-420a-99f5-7e53cb92e6c1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3201866-58c0-4721-a452-d4356fe7de4e}" ma:internalName="TaxCatchAll" ma:showField="CatchAllData" ma:web="035059a0-d0ab-420a-99f5-7e53cb92e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f5c59bb-fff3-44bb-af19-8c47570356e4">
      <Terms xmlns="http://schemas.microsoft.com/office/infopath/2007/PartnerControls"/>
    </lcf76f155ced4ddcb4097134ff3c332f>
    <_ip_UnifiedCompliancePolicyProperties xmlns="http://schemas.microsoft.com/sharepoint/v3" xsi:nil="true"/>
    <TaxCatchAll xmlns="035059a0-d0ab-420a-99f5-7e53cb92e6c1" xsi:nil="true"/>
  </documentManagement>
</p:properties>
</file>

<file path=customXml/itemProps1.xml><?xml version="1.0" encoding="utf-8"?>
<ds:datastoreItem xmlns:ds="http://schemas.openxmlformats.org/officeDocument/2006/customXml" ds:itemID="{70787C2D-A1A4-4F45-9C4A-27612EA4B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5c59bb-fff3-44bb-af19-8c47570356e4"/>
    <ds:schemaRef ds:uri="7aa30d0e-d5b0-496b-a38f-b8a612c662b7"/>
    <ds:schemaRef ds:uri="035059a0-d0ab-420a-99f5-7e53cb92e6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66FF13-33CB-4B96-9903-A348D0A5D2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0AF64B-D994-4AF3-9123-E0382D9A8B3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f5c59bb-fff3-44bb-af19-8c47570356e4"/>
    <ds:schemaRef ds:uri="035059a0-d0ab-420a-99f5-7e53cb92e6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Discount Definitions</vt:lpstr>
      <vt:lpstr>Premiums</vt:lpstr>
      <vt:lpstr>Losses and LAE</vt:lpstr>
      <vt:lpstr>Loss Ratios</vt:lpstr>
      <vt:lpstr>Claim&amp;Credibility</vt:lpstr>
      <vt:lpstr>Competitor Information</vt:lpstr>
      <vt:lpstr>Company Expenses</vt:lpstr>
      <vt:lpstr>Discount Calculations</vt:lpstr>
      <vt:lpstr>Rebasing 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Bartee</dc:creator>
  <cp:keywords/>
  <dc:description/>
  <cp:lastModifiedBy>Caleb Ripley</cp:lastModifiedBy>
  <cp:revision/>
  <dcterms:created xsi:type="dcterms:W3CDTF">2022-07-25T18:11:54Z</dcterms:created>
  <dcterms:modified xsi:type="dcterms:W3CDTF">2026-07-23T13:29:15Z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{88904B51-0AD4-4908-B876-F3254BE1FB6E}</vt:lpwstr>
  </property>
  <property fmtid="{D5CDD505-2E9C-101B-9397-08002B2CF9AE}" pid="3" name="ContentTypeId">
    <vt:lpwstr>0x010100AC0D24D4F71A634D91A34F14C517243B</vt:lpwstr>
  </property>
  <property fmtid="{D5CDD505-2E9C-101B-9397-08002B2CF9AE}" pid="4" name="MediaServiceImageTags">
    <vt:lpwstr/>
  </property>
</Properties>
</file>